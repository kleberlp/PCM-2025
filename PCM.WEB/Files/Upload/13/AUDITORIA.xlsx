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cacf0be76ce6a7/Área de Trabalho/"/>
    </mc:Choice>
  </mc:AlternateContent>
  <xr:revisionPtr revIDLastSave="2" documentId="13_ncr:1_{802A5900-6E37-4176-A6FE-C0F77ED1D7C7}" xr6:coauthVersionLast="47" xr6:coauthVersionMax="47" xr10:uidLastSave="{C94B73A8-0D7D-450B-8F16-E506022B7F56}"/>
  <bookViews>
    <workbookView xWindow="-120" yWindow="-120" windowWidth="29040" windowHeight="15720" xr2:uid="{29F733AA-70F6-4CA4-BFB1-D7F6A4A60526}"/>
  </bookViews>
  <sheets>
    <sheet name="Auditoria" sheetId="1" r:id="rId1"/>
    <sheet name="PESOS SUBGRUPOS" sheetId="2" r:id="rId2"/>
    <sheet name="PESO GRUPO" sheetId="3" r:id="rId3"/>
  </sheets>
  <definedNames>
    <definedName name="_xlnm._FilterDatabase" localSheetId="0" hidden="1">Auditoria!$A$1:$M$905</definedName>
    <definedName name="_xlnm._FilterDatabase" localSheetId="1" hidden="1">'PESOS SUBGRUPOS'!$A$1:$B$950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2" i="1"/>
</calcChain>
</file>

<file path=xl/sharedStrings.xml><?xml version="1.0" encoding="utf-8"?>
<sst xmlns="http://schemas.openxmlformats.org/spreadsheetml/2006/main" count="5709" uniqueCount="502">
  <si>
    <t>Sequência Checklist</t>
  </si>
  <si>
    <t>Tipo de Checklist</t>
  </si>
  <si>
    <t>Grupo</t>
  </si>
  <si>
    <t>Subgrupo</t>
  </si>
  <si>
    <t>Checklist</t>
  </si>
  <si>
    <t>Permite Foto</t>
  </si>
  <si>
    <t>Peso</t>
  </si>
  <si>
    <t>Valor Minimo</t>
  </si>
  <si>
    <t>Valor Máximo</t>
  </si>
  <si>
    <t>Unidade Medida</t>
  </si>
  <si>
    <t>Departamento Responsável</t>
  </si>
  <si>
    <t>SIM / NÃO / N.A.</t>
  </si>
  <si>
    <t>LAUDOS &amp; SEGURANÇA</t>
  </si>
  <si>
    <t xml:space="preserve">AVCB </t>
  </si>
  <si>
    <t>POSSUI AVCB VIGENTE?</t>
  </si>
  <si>
    <t>SIM</t>
  </si>
  <si>
    <t>TEXTO</t>
  </si>
  <si>
    <t xml:space="preserve">NUMERO / REGISTRO </t>
  </si>
  <si>
    <t>POSSUI PROJETOS APROVADOS:</t>
  </si>
  <si>
    <t>METRAGEM APROVADA?</t>
  </si>
  <si>
    <t>VALIDADE?</t>
  </si>
  <si>
    <t>NR 13 - VASOS DE PRESSÃO</t>
  </si>
  <si>
    <t>GAS - ESTANQUEIDADE REDE DISTRIBUIÇÃO E EQUIPAMENTOS</t>
  </si>
  <si>
    <t xml:space="preserve">SISTEMA DE COMBATE À INCÊNDIO - REDE HIDRANTES </t>
  </si>
  <si>
    <t>SISTEMA DE COMBATE À INCÊNDIO - SPRINKLERS</t>
  </si>
  <si>
    <t>RECALQUE DE RUA</t>
  </si>
  <si>
    <t>POSSUI RECALQUE?</t>
  </si>
  <si>
    <t>POSSUI ACESSORIOS E IDENTIFICAÇÃO?</t>
  </si>
  <si>
    <t>TUBULAÇÕES DE INCÊNDIO</t>
  </si>
  <si>
    <t>CONSERVAÇÃO E IDENTIFICAÇÃO?</t>
  </si>
  <si>
    <t>CENTRAL DE ALARME DE INCÊNDIO</t>
  </si>
  <si>
    <t>POSSUI CONTRATO DE MANUTENÇÃO VIGENTE?</t>
  </si>
  <si>
    <t>EMPRESA RESPONSAVEL?</t>
  </si>
  <si>
    <t>EXTINTORES DE INCÊNDIO</t>
  </si>
  <si>
    <t>CERTIFICADO DE MANUTENÇÃO EM DIA?</t>
  </si>
  <si>
    <t>TREINAMENTO BRIGADA INCENDIO</t>
  </si>
  <si>
    <t>BRIGADA FORMADA EM DIA?</t>
  </si>
  <si>
    <t>TIPO CORRETO?</t>
  </si>
  <si>
    <t>TESTE HIDROSTATICO EM DIA?</t>
  </si>
  <si>
    <t>SINALIZAÇÃO DE SEGURANÇA</t>
  </si>
  <si>
    <t>PRESSURIZAÇÃO DAS ESCADAS</t>
  </si>
  <si>
    <t>SISTEMAS &amp; MÁQUINAS</t>
  </si>
  <si>
    <t>ELEVADORES  - PNE</t>
  </si>
  <si>
    <t>ESTÃO OPERANDO NORMALMENTE?</t>
  </si>
  <si>
    <t>POSSUEM ITENS DE SEGURANÇA?</t>
  </si>
  <si>
    <t>POSSUI O SELO DE MANUTENÇÃO DO PRESTADOR DE SERVIÇOS?</t>
  </si>
  <si>
    <t>ELEVADORES -  SOCIAL / SERVIÇOS</t>
  </si>
  <si>
    <t>QUANTIDADE DE CARROS?</t>
  </si>
  <si>
    <t>AR CONDICIONADO - PMOC</t>
  </si>
  <si>
    <t>TRATAMENTO QUÍMICO DA REDE E ÁGUA GELADA</t>
  </si>
  <si>
    <t>ANALISE DA QUALIDADE DO AR</t>
  </si>
  <si>
    <t>POSSUI ANALISE SEMESTRAL DO AR</t>
  </si>
  <si>
    <t>QUANTIDADE MINIMA ATENDIDA CONFORME?</t>
  </si>
  <si>
    <t>FABRICANTE?</t>
  </si>
  <si>
    <t>DESINSETIZAÇÃO</t>
  </si>
  <si>
    <t>POSSUI CONTRATO VIGENTE?</t>
  </si>
  <si>
    <t>POSSUI CONTROLE DAS UHS?</t>
  </si>
  <si>
    <t>CONTROLE DAS ÁREAS COMUNS?</t>
  </si>
  <si>
    <t>LIMPEZA DA CAIXA DE ÁGUA</t>
  </si>
  <si>
    <t>ANÁLISE DA ÁGUA (QUÍMICO, FÍSICO E BACTERIOLÓGICA)</t>
  </si>
  <si>
    <t>SPDA - SISTEMA E LAUDO</t>
  </si>
  <si>
    <t>POSSUI LAUDO E ART VIGENTE?</t>
  </si>
  <si>
    <t>POSSUI LAUDO DE MANUTENÇÃO COM ART?</t>
  </si>
  <si>
    <t>CALIBRAÇÃO DOS TERMOMETROS</t>
  </si>
  <si>
    <t>POSSUI CALIBRAÇÃO ANUAL DOS TERMOMETROS?</t>
  </si>
  <si>
    <t xml:space="preserve">GERADOR DE ENERGIA </t>
  </si>
  <si>
    <t>LAUDO DE ABRANGENCIA E ART?</t>
  </si>
  <si>
    <t>POSSUI TANQUE DE DIESEL SUBTERRANEO?</t>
  </si>
  <si>
    <t xml:space="preserve">POÇO ARTESIANO </t>
  </si>
  <si>
    <t>POSSUI POÇO ARTESIANO?</t>
  </si>
  <si>
    <t>POSSUI OUTORGA?</t>
  </si>
  <si>
    <t>VALIDADE DA OUTORGA?</t>
  </si>
  <si>
    <t>SEGURANÇA CONTRA QUEDAS</t>
  </si>
  <si>
    <t>POSSUI GUARDA CORPO E LINHA VIDA EM LOCAIS PERIGOSOS?</t>
  </si>
  <si>
    <t>QUARDA CORPO EM CONFORMIDADE?</t>
  </si>
  <si>
    <t>POSSUI EPIS PARA TRABALHO EM ALTURA?</t>
  </si>
  <si>
    <t xml:space="preserve">EPI / EPC </t>
  </si>
  <si>
    <t>POSSUI EPIS APROPRIADOS?</t>
  </si>
  <si>
    <t>POSSUI EPCS APROPRIADOS?</t>
  </si>
  <si>
    <t>GERADORA DE ÁGUA QUENTE - AQ. DE PASSAGEM / SISTEMA SIMILAR</t>
  </si>
  <si>
    <t>PURGA PERIÓDICA?</t>
  </si>
  <si>
    <t>FUNCIONAMENTO DOS TERMOSTATOS E TERMOMETROS?</t>
  </si>
  <si>
    <t>AS BOMBAS ESTÃO CONSERVADAS E FUNCIONANDO ?</t>
  </si>
  <si>
    <t>FUNCIONAMENTOS DO SISTEMA?</t>
  </si>
  <si>
    <t>LOCAL LIMPO E ORGANIZADO?</t>
  </si>
  <si>
    <t>POSSUI ACESSORIOS DE SEGURANÇA</t>
  </si>
  <si>
    <t>GAS - GLP OU GN</t>
  </si>
  <si>
    <t>ACESSORIOS DENTRO DA VALIDADE?</t>
  </si>
  <si>
    <t>BOMBA PRINCIPAL 1  OPERANDO?</t>
  </si>
  <si>
    <t>BOMBA PRINCIPAL 2 OPERANDO?</t>
  </si>
  <si>
    <t>SISTEMA DE ACIONAMENTO? CHAVE FLUXO , PRESSOSTATO ETC..</t>
  </si>
  <si>
    <t>SINALIZAÇÃO EM CONFORMIDADE?</t>
  </si>
  <si>
    <t>ACESSORIOS EM CONFORMIDADE?</t>
  </si>
  <si>
    <t>SISTEMA DE COMBATE À INCÊNDIO - MANGUEIRAS DE INCÊNDIO</t>
  </si>
  <si>
    <t>POSSUEM LACRES?</t>
  </si>
  <si>
    <t>ESTÃO ADUCHADAS E NA QUANTIDADE CORRETA?</t>
  </si>
  <si>
    <t>EXTINTORES FALTANDO OU SEM SEM LACRES E/OU  IDENTIFICAÇÃO?</t>
  </si>
  <si>
    <t>EXTINTORES VENCIDOS</t>
  </si>
  <si>
    <t>SISTEMA DE COMBATE À INCÊNDIO - QUADRO ELÉTRICO - BOMBAS DE INCÊNDIO</t>
  </si>
  <si>
    <t>ESCADAS DE EMERGÊNCIA</t>
  </si>
  <si>
    <t>OS CORRIMÃOS SÃO CONTÍNUOS?</t>
  </si>
  <si>
    <t>PATAMARES ESTÃO COM CAIXA PINTURA DE AMARELO FOTO-LUMINESCENTE?</t>
  </si>
  <si>
    <t>DEVIDAMENTE ILUMINADAS E COM TODAS AS LUMINÁRIAS FUNCIONANDO?</t>
  </si>
  <si>
    <t>FECHAMENTOS PORTAS EM FUNCIONAMENTO?</t>
  </si>
  <si>
    <t>HÁ SETAS 15 CM ACIMA DO PISO DIRECIONANDO PARA A SAÍDA DE EMERGÊNCIA?</t>
  </si>
  <si>
    <t>PCF EM BOAS CONDIÇÕES?</t>
  </si>
  <si>
    <t>NÃO APRESENTA FALHAS?</t>
  </si>
  <si>
    <t>BATERIA POSSUI DATA DE VALIDADE?</t>
  </si>
  <si>
    <t>SISTEMA DE CLIMATIZAÇÃO CENTRAL</t>
  </si>
  <si>
    <t>AS BOMBAS DO CHILLER E/OU TORRES ESTÃO CONSERVADAS?</t>
  </si>
  <si>
    <t>A ESTRUTURA METÁLICA DO CHILLER E/OU TORRES ESTÁ CONSERVADA?</t>
  </si>
  <si>
    <t>AS SERPENTINAS DO CHILLER E/OU TORRES ESTÃO CONSERVADAS</t>
  </si>
  <si>
    <t>ÁGUA GELADA COLETADA NO PONTO MAIS BAIXO  SEM RESÍDUOS?</t>
  </si>
  <si>
    <t xml:space="preserve">A CAIXA DE COMPENSAÇÃO ESTÁ LIMPA? </t>
  </si>
  <si>
    <t>HÁ PRODUTOS DE TRATAMENTO DE ÁGUA GELADA NA CAIXA DE COMPENSAÇÃO?</t>
  </si>
  <si>
    <t>TODOS OS COMPRESSORES DOS CHILLERS ESTÃO FUNCIONANDO?</t>
  </si>
  <si>
    <t>O ISOLAMENTO TÉRMICO DO CHILLER ESTÁ CONSERVADO?</t>
  </si>
  <si>
    <t>PAINEL DE COMANDO DO CHILLER ESTÁ PROTEGIDO?</t>
  </si>
  <si>
    <t>SISTEMA DE CLIMATIZAÇÃO - INDIVIDUAL</t>
  </si>
  <si>
    <t>COMUNICAÇÃO EM  BRAILE E NUMÉRICO NO BATENTE EXTERNOS DOS ELEVADORES?</t>
  </si>
  <si>
    <t>O ALARME ESTÁ FUNCIONANDO?</t>
  </si>
  <si>
    <t>AVISO - ANTES  ENTRAR VERIFIQUE SE O ELEVADOR ESTÁ PARADO NO PAVIMENTO-</t>
  </si>
  <si>
    <t>-EXISTE A COMUNICAÇÃO -- NÃO UTILIZE O ELEVADOR EM CASO DE INCÊNDIO-</t>
  </si>
  <si>
    <t>-EXISTE A COMUNICAÇÃO -- É PROIBIDO FUMAR --?-</t>
  </si>
  <si>
    <t>AS CABINAS DOS ELEVADORES ESTÃO CONSERVADOS?</t>
  </si>
  <si>
    <t>TODAS OS ELEVADORES SÃO MONITORADOS POR CFTV?</t>
  </si>
  <si>
    <t>A ILUMINAÇÃO DE EMERGÊNCIA DA CABINA DO ELEVADOR ESTÁ FUNCIONANDO?</t>
  </si>
  <si>
    <t>OS INTERFONES ESTÃO FUNCIONANDO?</t>
  </si>
  <si>
    <t>BARREIRA ELETRÔNICA -HÁ RÉGUA DE ABERTURA NA PORTA?</t>
  </si>
  <si>
    <t>ELEVADORES - POÇO DOS ELEVADORES</t>
  </si>
  <si>
    <t>POSSUI COLETOR DE ÓLEO NAS PONTAS DAS CORREDIÇAS? NBR 207/99</t>
  </si>
  <si>
    <t>POSSUI PROTETOR DA SOLEIRA (CORNIJA) NBR 207/99</t>
  </si>
  <si>
    <t>ELEVADORES - CASA DE MÁQUINAS</t>
  </si>
  <si>
    <t>QUADRO DE FORÇA CONF NBR5410?</t>
  </si>
  <si>
    <t>BOTOEIRA DE INSPEÇÃO?</t>
  </si>
  <si>
    <t>GUARDA CORPO E ESPELHO TEMPERADO DENTRO DA CABINE? NM 313/2007</t>
  </si>
  <si>
    <t>ACESSO AO POÇO ESTÁ FECHADA?</t>
  </si>
  <si>
    <t>CASA DE MÁQUINAS ELEVADORES LIMPA E CONSERVADA?</t>
  </si>
  <si>
    <t>AS POLIAS DOS MOTORES ESTÃO PROTEGIDAS?</t>
  </si>
  <si>
    <t>OS MOTORES NÃO APRESENTAM VAZAMENTO DE ÓLEO?</t>
  </si>
  <si>
    <t>PINTURA DE PISO E SINALIZAÇÃO DE CASA DE MÁQUINAS</t>
  </si>
  <si>
    <t>ELEVADORES - MONTA CARGA</t>
  </si>
  <si>
    <t>HÁ INFILTRAÇÃO DE ÁGUA NO LOCAL?</t>
  </si>
  <si>
    <t>ESCADA DE ACESSO AO FUNDO DO POÇO? NBR 207/99</t>
  </si>
  <si>
    <t>ILUMINAÇÃO E EMERGÊNCIA NO FUNDO DO POÇO CHAVE P.A.P.?</t>
  </si>
  <si>
    <t>ILUMINAÇÃO DO PASSADIÇO (POÇO) DO ELEVADOR?</t>
  </si>
  <si>
    <t>GUARDA CORPO NO TOPO DA CABINA</t>
  </si>
  <si>
    <t>ELEVADORES - RIA &amp; MANUTENÇÃO</t>
  </si>
  <si>
    <t>POSSUI RIA VIGENTE?</t>
  </si>
  <si>
    <t>NR 10 - SEGURANÇA ELETRICIDADE</t>
  </si>
  <si>
    <t>CERTIFICADO DE TREINAMENTO EQUIPE?</t>
  </si>
  <si>
    <t>INSTALAÇÕES ADEQUADAS A NR10</t>
  </si>
  <si>
    <t xml:space="preserve">SUBESTAÇÃO E OU CABINE PRIMÁRIA &amp; CENTRO DE MEDIÇÃO </t>
  </si>
  <si>
    <t>O LOCAL ESTÁ LIMPO E ORGANIZADO?</t>
  </si>
  <si>
    <t>POSSUI EPI'S E EPC'S EM DIA?</t>
  </si>
  <si>
    <t>LOCAL TRANCADO?</t>
  </si>
  <si>
    <t>POSSUI EXTINTORES EILUMINAÇÃO DE EMERGÊNCIA?</t>
  </si>
  <si>
    <t>POSSUI TRANSFORMADOR A ÓLEO?</t>
  </si>
  <si>
    <t>MANUTENÇÃO EM DIA?</t>
  </si>
  <si>
    <t>AS BATERIAS ESTÃO CONSERVADAS E TEM MENOS QUE DOIS ANOS DE USO?</t>
  </si>
  <si>
    <t>GERADOR LIGOU NO TESTE  E FUNCIONOU PERFEITAMENTE ?</t>
  </si>
  <si>
    <t>HÁ LUMINÁRIA DE EMERGÊNCIA A SALA DO GERADOR?</t>
  </si>
  <si>
    <t>O NÍVEL DE ÓLEO DO MOTOR ESTÁ NORMAL?</t>
  </si>
  <si>
    <t>O RADIADOR ESTÁ COM ÁGUA E LIQUIDO ARREFECIMENTO?</t>
  </si>
  <si>
    <t>A RESISTENCIA DO MOTOR ESTÁ FUNCIONANDO?</t>
  </si>
  <si>
    <t>HÁ DETECTOR DE FUMAÇA E/OU CALOR INSTALADOS NO LOCAL E FUNCIONAM?</t>
  </si>
  <si>
    <t>POSSUI EPI NO LOCAL ?</t>
  </si>
  <si>
    <t>SEM MATERIAL INFLAMAVEL OU COMBUSTIVELL NO LOCAL ONDE ESTÁ GERADOR?</t>
  </si>
  <si>
    <t>O GERADOR ESTÁ DEVIDAMENTE ATERRADO ?</t>
  </si>
  <si>
    <t>ETE - ESTAÇÃO DE TRATAMENTO DE ÁGUA</t>
  </si>
  <si>
    <t>Local organizado com acesso controlado ?</t>
  </si>
  <si>
    <t>AS BOMBAS ESTÃO FUNCIONANDO?</t>
  </si>
  <si>
    <t>O SISTEMA DE TRATAMENTO DE ÁGUA ESTÁ SENDO UTILIZADO?</t>
  </si>
  <si>
    <t>OS RESERVATÓRIOS ESTÃO CONSERVADOS?</t>
  </si>
  <si>
    <t>ETA - estação tratamento de afluentes</t>
  </si>
  <si>
    <t>RESERVATÓRIOS DE ÁGUA</t>
  </si>
  <si>
    <t>AS BOMBAS DE RECALQUE ESTÃO CONSERVADAS E FUNCIONANDO?</t>
  </si>
  <si>
    <t>POSSUI BOMBA RESERVA?</t>
  </si>
  <si>
    <t>RESERV. INFERIOR: A IMPERMEABILIZAÇÃO ESTÁ CONSERVADA?</t>
  </si>
  <si>
    <t>RESERV. INFERIOR:A TAMPA DO RESERVATÓRIO ESTÁ CONSERVADA E FECHADA?</t>
  </si>
  <si>
    <t>RESERV.SUPERIOR :A IMPERMEABILIZAÇÃO ESTÁ CONSERVADA?</t>
  </si>
  <si>
    <t>RESERV.  SUPERIOR :A TAMPA É MANTIDA TRANCADA COM CEDEADO?</t>
  </si>
  <si>
    <t>TUBULAÇÕES</t>
  </si>
  <si>
    <t>TUB. DE ÁGUA FRIA - ESTÁ CONSERVADA E IDENTIFICADA?</t>
  </si>
  <si>
    <t>TUB. DE ÁGUA GELADA -ESTÁ CONSERVADA E IDENTIFICADA?</t>
  </si>
  <si>
    <t>TUB. DE ÁGUA QUENTE - ESTÁ CONSERVADA E IDENTIFICADA?</t>
  </si>
  <si>
    <t>VENTILAÇÃO E/OU EXAUSTÃO</t>
  </si>
  <si>
    <t>OS EQUIPAMENTOS DE EXAUSTÃO ESTÃO FUNCIONANDO?</t>
  </si>
  <si>
    <t>OS EQUIPAMENTOS DE EXAUSTÃO E VENTILAÇÃO ESTÃO LIMPOS?</t>
  </si>
  <si>
    <t>OS EQUIPAMENTOS DE VENTILAÇÃO ESTÃO FUNCIONANDO?</t>
  </si>
  <si>
    <t>OS FILTROS DOS EQUIPAMENTOS DE VENTILAÇÃO ESTÁ LIMPOS?</t>
  </si>
  <si>
    <t>MANUTENÇÃO É EXECUTADA PERIODICAMENTE?</t>
  </si>
  <si>
    <t>TERMOSTATOS FUNCIONANDO?</t>
  </si>
  <si>
    <t>A CÂMARA / GELADEIRA DE CONGELADOS OPERA DFAIXA DE -12º C E -18º C?</t>
  </si>
  <si>
    <t>A CÂMARA / GELADEIRA DE RESFRIADOS OPERA DENTRO DA FAIXA DE +4º C E +10º C?</t>
  </si>
  <si>
    <t>AS BORRACHAS DAS PORTAS DAS CÂMARAS ESTÃO CONSERVADAS?</t>
  </si>
  <si>
    <t>O PISO DAS CÂMARAS ESTÃO CONSERVADOS?</t>
  </si>
  <si>
    <t>SISTEMA ANTITRAVAMENTO OU AS PORTAS PODEM SER DESTRAVADAS INTERNAMENTE ?</t>
  </si>
  <si>
    <t>AS BORRACHAS DAS PORTAS DOS BALCÕES ESTÃO CONSERVADAS?</t>
  </si>
  <si>
    <t>OS COMPRESSORES ESTÃO LIMPOS?</t>
  </si>
  <si>
    <t>COIFAS</t>
  </si>
  <si>
    <t>A COIFA ESTÁ LIMPA?</t>
  </si>
  <si>
    <t>OS DUTOS DA COIFA ESTÃO LIMPOS?</t>
  </si>
  <si>
    <t>WASH PULL - O RESERVATÓRIO DO SISTEMA WASHPULL ESTÁ COM PRODUTO?</t>
  </si>
  <si>
    <t>WASH PULL - ESTA FUNCIONANDO?</t>
  </si>
  <si>
    <t>COZINHA</t>
  </si>
  <si>
    <t>FORNO COMBINADO - O EQUIPAMENTO ESTÁ CONSERVADO? FUNCIONANDO?</t>
  </si>
  <si>
    <t>LAVADORA DE LOUÇAS - O EQUIPAMENTO ESTÁ CONSERVADO? FUNCIONANDO?</t>
  </si>
  <si>
    <t>ULTRACONGELADOR - O EQUIPAMENTO ESTÁ CONSERVADO? FUNCIONANDO?</t>
  </si>
  <si>
    <t>EQUIPAMENTOS DE PANIFICAÇÃO EM CONFORMIDADE?</t>
  </si>
  <si>
    <t>EQUIPAMENTOS DE CONFEITARIA EM CONFORMIDADE?</t>
  </si>
  <si>
    <t>EQUIPAMENTOS DE AÇOUGUE EM CONFORMIDADE?</t>
  </si>
  <si>
    <t>ESTADO DE CONSERVAÇÃO DOS EQUIPAMENTOS</t>
  </si>
  <si>
    <t>FILTROS D'ÁGUA - OS FILTROS ESTÃO COM VALIDADE DO ELEMENTO FILTRANTE?</t>
  </si>
  <si>
    <t>FRITADEIRAS - O SELETOR DE TEMP.COM INFORMAÇÃO DE TEMPERATURA LEGÍVEL?</t>
  </si>
  <si>
    <t>A FRITADEIRA NÃO  PODE SER PROGRAMADA NO MÁXIMO A 200° C?</t>
  </si>
  <si>
    <t>A FRITADEIRA TEM TERMOSTATO DE SEGURANÇA?</t>
  </si>
  <si>
    <t>AS MANGUEIRAS DE GÁS ESTÃO LIMPAS?</t>
  </si>
  <si>
    <t>JANELAS -POSSUI TELA DE PROTEÇÃO</t>
  </si>
  <si>
    <t>AS LUMINÁRIAS SÃO PROTEGIDAS COM ACRÍLICO?</t>
  </si>
  <si>
    <t>ADEGA CLIMATIZADA</t>
  </si>
  <si>
    <t>POSSUI ADEGA CLIMATIZADA? FUNCIONANDO?</t>
  </si>
  <si>
    <t>RESTAURANTE</t>
  </si>
  <si>
    <t>PISTA FRIA FUNCIONANDO?</t>
  </si>
  <si>
    <t>PISTA QUENTE FUNCIONANDO?</t>
  </si>
  <si>
    <t>GELADEIRAS E/OU EXPOSITORES FUNCIONANDO?</t>
  </si>
  <si>
    <t>POSSUI TELEVISÃO NO RESTAURANTE? FUNCIONANDO?</t>
  </si>
  <si>
    <t>OUTRO TIPO DE EQUIPAMENTO?</t>
  </si>
  <si>
    <t>PISCINAS - CASA DE BOMBAS</t>
  </si>
  <si>
    <t>QUADRO ELÉTRICO E DE COMANDO em conformidade?</t>
  </si>
  <si>
    <t>HÁ VÁLVULA SSLV QUE INTERROMPE O FUNCIONAMENTO ?</t>
  </si>
  <si>
    <t>NÃO APRESENTA VAZAMENTOS?</t>
  </si>
  <si>
    <t>FILTROS EM CONFORMIDADE</t>
  </si>
  <si>
    <t>SAUNA - MAQUINÁRIO</t>
  </si>
  <si>
    <t>Funcionando em conformidade?</t>
  </si>
  <si>
    <t>LAVANDERIA</t>
  </si>
  <si>
    <t>MAQUINAS LAVAR ESTÃO CONSERVADAS? E FUNCIONANDO ADEQUADAMENTE?</t>
  </si>
  <si>
    <t xml:space="preserve">MÁQUINAS DE SECAR ROUPAS ESTÃO CONSERVADOS? </t>
  </si>
  <si>
    <t>EDIFICAÇÃO &amp; OPERAÇÃO</t>
  </si>
  <si>
    <t>ÁREAS / PISOS TÉCNICOS</t>
  </si>
  <si>
    <t>AS LUMINÁRIAS ESTÃO CONSERVADAS?</t>
  </si>
  <si>
    <t>O PISO ESTÁ CONSERVADO?</t>
  </si>
  <si>
    <t>AS PORTAS ESTÃO FECHADAS E CONSERVADAS?</t>
  </si>
  <si>
    <t>O TETO ESTÁ CONSERVADO?</t>
  </si>
  <si>
    <t>HÁ MATERIAL , OBJETOS GUARDADOS  NOS PAVIMENTOS TÉCNICOS?</t>
  </si>
  <si>
    <t>AREAS DE LAZER</t>
  </si>
  <si>
    <t>ESTADO DE CONSERVAÇÃO - PAREDES</t>
  </si>
  <si>
    <t>ESTADO DE CONSERVAÇÃO - PISO</t>
  </si>
  <si>
    <t>ESTADO DE CONSERVAÇÃO - TETO</t>
  </si>
  <si>
    <t>ESTADO DE CONSERVAÇÃO - MOBILIARIO</t>
  </si>
  <si>
    <t>ESTADO DE CONSERVAÇÃO - ACESSÓRIOS -BOLAS, RAQUETES, TACOS,BICICLETAS,ETC-?</t>
  </si>
  <si>
    <t>EQUIPAMENTOS CONSERVADOS E FUNCIONANDO?</t>
  </si>
  <si>
    <t>INSTALAÇÕES ELÉTRICAS EM CONFORMIDADE?</t>
  </si>
  <si>
    <t>ILUMINAÇÃO CONSERVADA E FUNCIONANDO?</t>
  </si>
  <si>
    <t>CLIMATIZAÇÃO FUNCIONANDO? (QUANDO APLICÁVEL)</t>
  </si>
  <si>
    <t>SINALIZAÇÃO DE FUNCIONAMENTO DO LOCAL VISIVEL?</t>
  </si>
  <si>
    <t xml:space="preserve">BANHEIROS SOCIAIS </t>
  </si>
  <si>
    <t>ESTADO DE CONSERVAÇÃO - PORTAS</t>
  </si>
  <si>
    <t>ESTADO DE CONSERVAÇÃO - DECORAÇÃO</t>
  </si>
  <si>
    <t>MICTÓRIOS E VASOS ESTÃO LIMPOS E CONSERVADOS?</t>
  </si>
  <si>
    <t>OS VASOS SANITÁRIOS ESTÃO COM AS TAMPAS DE PROTEÇÃO?</t>
  </si>
  <si>
    <t>O SISTEMA DE EXAUSTÃO DOS SANITÁRIOS ESTÁ FUNCIONANDO?</t>
  </si>
  <si>
    <t>BANHEIROS SOCIAIS EVENTOS</t>
  </si>
  <si>
    <t>ESTADO DE CONSERVAÇÃO - MOBILIARIO / ACESSÓRIOS</t>
  </si>
  <si>
    <t>BAR EXTERNO - PISCINA</t>
  </si>
  <si>
    <t>INSTALAÇÕES  EM CONFORMIDADE?</t>
  </si>
  <si>
    <t>CLIMATIZAÇÃO FUNCIONANDO?</t>
  </si>
  <si>
    <t>CONSERVAÇÃO E INFRAESTRUTURA</t>
  </si>
  <si>
    <t>DEPOSITOS</t>
  </si>
  <si>
    <t>MATERIAIS INFLAMAVEIS EM LOCAL PROIBIBO?</t>
  </si>
  <si>
    <t>COBERTURA / TELHADO</t>
  </si>
  <si>
    <t>CONDIÇÕES DA COBERTURA: TELHAS E OU IMPERMEABILIZAÇÃO?</t>
  </si>
  <si>
    <t>SPDA - ESTRUTURAS METÁLICAS - ESTÃO ATERRADAS?</t>
  </si>
  <si>
    <t>HÁ GUARDA CORPO NA COBERTURA E ESTÃO DENTRO DAS NORMAS?</t>
  </si>
  <si>
    <t>PRÉDIO - ATIBAIA - CORREDORES</t>
  </si>
  <si>
    <t>OS QUADROS ELÉTRICOS ESTÃO CONSERVADOS E IDENTIFICADOS ?</t>
  </si>
  <si>
    <t>ESTADO DE CONSERVAÇÃO DO PISO (NO GERAL)</t>
  </si>
  <si>
    <t>ESTADO CONSERVAÇÃO DA PINTURA E OU REVESTIMENTO CERAMICO?</t>
  </si>
  <si>
    <t>ESTADO DE CONSERVAÇÃO PORTAS DOS SHAFTS E INTERIOR ?</t>
  </si>
  <si>
    <t>PRÉDIO - CAETÉ - CORREDORES</t>
  </si>
  <si>
    <t>PRÉDIO - ARAXÁ - CORREDORES</t>
  </si>
  <si>
    <t>PRÉDIO - ROÇAS NOVAS - CORREDORES</t>
  </si>
  <si>
    <t>ESTADO DE CONSERVAÇÃO DO LOCAL?</t>
  </si>
  <si>
    <t>INSTALAÇÕES HIDRÁULICAS EM CONFORMIDADE?</t>
  </si>
  <si>
    <t>CPD E/OU DG</t>
  </si>
  <si>
    <t>AR CONDICIONADO - FUNCIONANDO CORRETAMENTE?</t>
  </si>
  <si>
    <t>POSSUI CONTROLE DE ACESSO?</t>
  </si>
  <si>
    <t>OS CABOS E FIOS ESTÃO ORGANIZADOS?</t>
  </si>
  <si>
    <t>O PABX ESTÁ COM AS TAMPAS DE PROTEÇÃO?</t>
  </si>
  <si>
    <t>DEMAIS DEPARTAMENTOS</t>
  </si>
  <si>
    <t>O MOBILIÁRIO ESTÁ CONSERVADO?</t>
  </si>
  <si>
    <t>DEMAIS DEPARTAMENTOS - ACESSO CLIENTES</t>
  </si>
  <si>
    <t>EDIFICAÇÃO</t>
  </si>
  <si>
    <t>SEM PROBLEMAS DE INFILTRAÇÃO NA EDIFICAÇÃO?</t>
  </si>
  <si>
    <t>SEM DANOS NA EDIFICAÇÃO?</t>
  </si>
  <si>
    <t>SEM PROBLEMAS ESTRUTURAIS?</t>
  </si>
  <si>
    <t>A FACHADA ESTÁ COM PROBLEMAS DE RACHADURAS NA ESTRUTURA DO HOTEL?</t>
  </si>
  <si>
    <t>A FACHADA ESTÁ LIMPA E CONSERVADA?</t>
  </si>
  <si>
    <t>AREA EXTERNA - CALÇAMENTO - CONSERVADOS E LIMPOS?</t>
  </si>
  <si>
    <t>AREA EXTERNA - MUROS- CONSERVADOS E LIMPOS?</t>
  </si>
  <si>
    <t>LUMINOSO CONSERVADO E FUNCIONANDO? (NOITE)</t>
  </si>
  <si>
    <t>SINALIZAÇÕES DA-MARCA- PRODUTO EM CONFORMIDADE?</t>
  </si>
  <si>
    <t>ESCADAS SOCIAIS &amp; EMERGÊNCIA</t>
  </si>
  <si>
    <t>ILUMINAÇÃO FUNCIONANDO?</t>
  </si>
  <si>
    <t>POSSUI MATERIAIS ARMAZENADOS NO LOCAL?</t>
  </si>
  <si>
    <t>ESTADO DE CONSERVAÇÃO DAS PORTAS E ACESSO?</t>
  </si>
  <si>
    <t>SINALIZAÇÃO DE ANDAR?</t>
  </si>
  <si>
    <t>ESTACIONAMENTO</t>
  </si>
  <si>
    <t xml:space="preserve">INFRAESTRUTURA : </t>
  </si>
  <si>
    <t>A ILUMINAÇÃO DO ESTACIONAMENTO ESTÁ EM BOAS CONDIÇÕES EM TODAS AS ÁREAS?</t>
  </si>
  <si>
    <t>DEMARCAÇÃO DE VAGAS?</t>
  </si>
  <si>
    <t>SINALIZAÇÕES VISIVEIS?</t>
  </si>
  <si>
    <t>FAZENDINHA</t>
  </si>
  <si>
    <t>FITNESS CENTER / ACADEMIA</t>
  </si>
  <si>
    <t>MANUTENÇÃO PERIODICA DOS EQUIPAMENTOS?</t>
  </si>
  <si>
    <t>OS EQUIPAMENTOS ESTÃO CONSERVADOS E FUNCIONANDO?</t>
  </si>
  <si>
    <t>CONSERVAÇÃO DO LOCAL?</t>
  </si>
  <si>
    <t>BEBEDOUROS LIMPO E ABASTECIDO?</t>
  </si>
  <si>
    <t>KIDS CLUB</t>
  </si>
  <si>
    <t>LOBBY</t>
  </si>
  <si>
    <t>EQUIPAMENTOS FUNCIONANDO?</t>
  </si>
  <si>
    <t xml:space="preserve">LOBBY BAR </t>
  </si>
  <si>
    <t>MALEIRO</t>
  </si>
  <si>
    <t>ESTADO CONSERVAÇÃO DA PINTURA?</t>
  </si>
  <si>
    <t>PISCINA</t>
  </si>
  <si>
    <t>HÁ CÂMERAS PARA COMPENSAR AUSÊNCIA DE SALVA-VIDAS?</t>
  </si>
  <si>
    <t>POSSUI CONTROLE DIÁRIO DE CLORO E PH DA PISCINA?</t>
  </si>
  <si>
    <t>HÁ BÓIAS DE SEGURANÇA LIGADAS COM CORDA?</t>
  </si>
  <si>
    <t>HÁ BOTÃO DE PÂNICO PARA DESLIGAR AS BOMBAS DE SUCÇÃO?</t>
  </si>
  <si>
    <t>A(S) PISCINA (S) TEM ESCADA TIPO MARINHEIRO?</t>
  </si>
  <si>
    <t>HÁ ILUMINAÇÃO NOTURNA AO REDOR DA PISCINA ?</t>
  </si>
  <si>
    <t>HÁ SINALIZAÇÃO DE PROFUNDIDADE  PORTUGUÊS / INGLÊS  A CADA 5 METROS?</t>
  </si>
  <si>
    <t>O PISO (ACESSO) À PISCINA ESTÁ CONSERVADO</t>
  </si>
  <si>
    <t>REVESTIMENTO INTEGRO E LIMPO?</t>
  </si>
  <si>
    <t>OS REJUNTES DENTRO DA PISCINA ESTÃO LIMPOS?</t>
  </si>
  <si>
    <t>ESCADA DE ACESSO CONSERVADA?</t>
  </si>
  <si>
    <t>FONTE E/OU CASACATA CONSERVADA E FUNCIONANDO?</t>
  </si>
  <si>
    <t>MOBILIARIO CONSERVADOS?</t>
  </si>
  <si>
    <t>COMUNICAÇÃO DE USO EM LOCAL VISIVEL?</t>
  </si>
  <si>
    <t>ACESSORIOS DE SEGURANÇA EM LOCAL VISIVEL E CONSERVADO?</t>
  </si>
  <si>
    <t>PISCINA TÉRMICA</t>
  </si>
  <si>
    <t>PISCINA SEGURANÇA</t>
  </si>
  <si>
    <t>SPA</t>
  </si>
  <si>
    <t>RECEPÇÃO</t>
  </si>
  <si>
    <t>RECEPÇÃO - BACK</t>
  </si>
  <si>
    <t>LOCAL  CONSERVADO?</t>
  </si>
  <si>
    <t>REFEITÓRIO COLABORADORES</t>
  </si>
  <si>
    <t>NO LOCAL HÁ TELAS DE PROTEÇÃO CONTRA INSETOS E SUJEIRAS?</t>
  </si>
  <si>
    <t>CLIMATIZAÇÃO FUNCIOANDO?</t>
  </si>
  <si>
    <t>FERRAMENTAS EM LOCAIS APROPRIADOS?</t>
  </si>
  <si>
    <t>SALAS DE EVENTOS</t>
  </si>
  <si>
    <t>HÁ PORTAS ANTIPÂNICO NAS SALAS DE EVENTOS -MAIOR DE 100 PESSOAS-?</t>
  </si>
  <si>
    <t>AS PORTAS CORTA FOGO E/OU ANTIPÂNICO ABREM PARA LADO EXTERNO ?</t>
  </si>
  <si>
    <t>AS PORTAS E/OU ANTIPÂNICO ESTÃO FECHANDO-SE COMPLETAMENTE?</t>
  </si>
  <si>
    <t>DIVISÓRIAS FUNCIONANDO?</t>
  </si>
  <si>
    <t>AS CORTINAS ESTÃO LIMPAS E CONSERVADAS?</t>
  </si>
  <si>
    <t>SAUNA</t>
  </si>
  <si>
    <t>HÁ AVISOS DE ALERTA NO LADO EXTERNO PARA UTILIZAÇÃO DA SAUNA?</t>
  </si>
  <si>
    <t>SAUNA SECA = A MADEIRA DA SAUNA ESTÁ CONSERVADA?</t>
  </si>
  <si>
    <t>SAUNA VAPOR = O FORNO ESTÁ CONSERVADO? PROTEGIDO?</t>
  </si>
  <si>
    <t>SAUNA VAPOR = OS REJUNTES DA SAUNA A VAPOR ESTÃO ESCURECIDOS?</t>
  </si>
  <si>
    <t>AS DUCHAS ESTÃO LIMPAS?</t>
  </si>
  <si>
    <t>ISOLAMENTO TÉRMICO / CONDENSAÇÃO EXTERNA?</t>
  </si>
  <si>
    <t>PORTA DE ACESSSO FECHA CORRETAMENTE?</t>
  </si>
  <si>
    <t>CONSERVAÇÃO DO REVESTIMENTO CERAMICO / MADEIRA?</t>
  </si>
  <si>
    <t>ILUMINAÇÃO INTERNA FUNCIONANDO?</t>
  </si>
  <si>
    <t>CONTROLE DE TEMPERTURA E INDICADOR -TERMOMETRO INTERNO- FUNCIONANDO?</t>
  </si>
  <si>
    <t>SINALIZAÇÃO DE UTILIZAÇÃO PARA CLIENTES?</t>
  </si>
  <si>
    <t>VESTIÁRIOS COLABORADORES</t>
  </si>
  <si>
    <t>ACIONADORES HIDRAULICOS FUNCIONANDO SEM VAZAMENTOS?</t>
  </si>
  <si>
    <t>ILUMINAÇÃO</t>
  </si>
  <si>
    <t>VENTILAÇÃO , EXAUSTÃO?</t>
  </si>
  <si>
    <t>VESTIÁRIOS:  ACADEMIA / SAUNA / PISCINAS</t>
  </si>
  <si>
    <t>VENTILAÇÃO , EXAUSTÃO FUNCIONANDO?</t>
  </si>
  <si>
    <t>ACESSÓRIOS CONSERVADOS E LIMPOS?</t>
  </si>
  <si>
    <t>EQUIPAMENTOS FUNCIONANDO EM BOAS CONDIÇÕES?</t>
  </si>
  <si>
    <t>PORTARIA</t>
  </si>
  <si>
    <t>INFRAESTRUTURA?</t>
  </si>
  <si>
    <t>EQUIPAMENTOS EM BS CONDIÇÕES?</t>
  </si>
  <si>
    <t>ALMOXARIFADO</t>
  </si>
  <si>
    <t>INFRAESTRUTURA EM CONFORMIDADE</t>
  </si>
  <si>
    <t>UH EM DIA</t>
  </si>
  <si>
    <t>APARTAMENTO 01</t>
  </si>
  <si>
    <t>NUMERO UH</t>
  </si>
  <si>
    <t>FECHADURA E PORTA</t>
  </si>
  <si>
    <t>PISO</t>
  </si>
  <si>
    <t>PAREDES</t>
  </si>
  <si>
    <t>TETO</t>
  </si>
  <si>
    <t>COFRE</t>
  </si>
  <si>
    <t>AR CONDICIONADO</t>
  </si>
  <si>
    <t>TV E CONTROLES REMOTO</t>
  </si>
  <si>
    <t>TELEFONES</t>
  </si>
  <si>
    <t>CAMA</t>
  </si>
  <si>
    <t>JANELAS</t>
  </si>
  <si>
    <t>CORTINAS E BLACK OUT</t>
  </si>
  <si>
    <t>BANHEIRO - BOX</t>
  </si>
  <si>
    <t>BANHEIRO - REJUNTE</t>
  </si>
  <si>
    <t>BANHEIRO - CHUVEIRO</t>
  </si>
  <si>
    <t>BANHEIRO - LOUÇAS E ESPELHO</t>
  </si>
  <si>
    <t>BANHEIRO - PISO E REVESTIMENTOS</t>
  </si>
  <si>
    <t>BANHEIRO - SECADOR</t>
  </si>
  <si>
    <t>BANHEIRO - ACESSORIOS</t>
  </si>
  <si>
    <t>APARTAMENTO 02</t>
  </si>
  <si>
    <t>APARTAMENTO 03</t>
  </si>
  <si>
    <t>APARTAMENTO 04</t>
  </si>
  <si>
    <t>APARTAMENTO 05</t>
  </si>
  <si>
    <t>APARTAMENTO 06</t>
  </si>
  <si>
    <t>APARTAMENTO 07</t>
  </si>
  <si>
    <t>APARTAMENTO 08</t>
  </si>
  <si>
    <t>APARTAMENTO 09</t>
  </si>
  <si>
    <t>APARTAMENTO 10</t>
  </si>
  <si>
    <t>NR13 - LAUDOS, ART E LIVROS EM CONFORMIDADE?</t>
  </si>
  <si>
    <t>Laudo e com ART do TESTE DE ESTANQUEIDADE EM DIA?</t>
  </si>
  <si>
    <t>Laudo e ART do TESTE ANUAL DO SISTEMA - REDE HIDRANTES  ?</t>
  </si>
  <si>
    <t>Teste do Sistema de Hidrantes - Simular sistema durante a Auditoria</t>
  </si>
  <si>
    <t>Condições e ATENDE LEGISLAÇÃO VIGENTE?</t>
  </si>
  <si>
    <t>Laudo e ART do TESTE ANUAL DO SISTEMA - Central de Alarmes</t>
  </si>
  <si>
    <t>Teste da Central de Alarmes - Simular sistema durante a Auditoria</t>
  </si>
  <si>
    <t>Brigada atende a legislação?</t>
  </si>
  <si>
    <t>O numero atual de integrantes atende a legislação?</t>
  </si>
  <si>
    <t>CAIXAS DE HIDRANTES EM CONFORMIDADE E CONSERVAÇÃO?</t>
  </si>
  <si>
    <t>RIA COM ART EM CONFORMIDADE?</t>
  </si>
  <si>
    <t>REGISTRO DAS MANUTENÇÕES PERIODICAS?</t>
  </si>
  <si>
    <t>BOMBA JOCKEY OPERANDO?</t>
  </si>
  <si>
    <t>PMOC com Art vigente atendendo a legislação?</t>
  </si>
  <si>
    <t>POSSUI TRATAMENTO DA CAG?</t>
  </si>
  <si>
    <t>RESULTADO DENTRO DOS PARAMETROS ESTABELECIDO?</t>
  </si>
  <si>
    <t>RESERVATORIOS  INFERIORES - LIMPEZA E LAUDO EM CONFORMIDADE?</t>
  </si>
  <si>
    <t>RESERVATORIOS  SUPERIORES - LIMPEZA E LAUDO EM CONFORMIDADE?</t>
  </si>
  <si>
    <t>DOCUMENTAÇÃO EM CONFORMIDADE COM A LEGISLAÇÃO?</t>
  </si>
  <si>
    <t>POSSUI ANALISE DA AGUA CONFORME PLANO DE AMOSTRAGEM?</t>
  </si>
  <si>
    <t>FREQUENCIA ATENDE O PLANO DE AMOSTRAGEM?</t>
  </si>
  <si>
    <t>ESTA EM CONFORMIDADE?</t>
  </si>
  <si>
    <t>TANQUE DIESEL ESTA EM CONFORMIDADE?</t>
  </si>
  <si>
    <t>HÁ BACIA DE CONTENÇÃO SOB O TANQUE DE COMBUSTÍVEL DO GERADOR?</t>
  </si>
  <si>
    <t>POSSUI CONTENÇÃO SOB O RESERVATORIO DE COMBUSTIVEL?</t>
  </si>
  <si>
    <t xml:space="preserve">Coifas </t>
  </si>
  <si>
    <t>REALIZADO A MANUTENÇÃO DO POÇO?</t>
  </si>
  <si>
    <t>TREINAMENTO DE USO DE EPI?</t>
  </si>
  <si>
    <t>EPIS COM CA VÁLIDO?</t>
  </si>
  <si>
    <t>FICHA DE ENTREGA DE EPI?</t>
  </si>
  <si>
    <t>EPCS COM CA VALIDO?</t>
  </si>
  <si>
    <t>EPCS DENTRO DA VALIDADE E COM BOAS CONDIÇÕES?</t>
  </si>
  <si>
    <t>LIMPEZA DAS COIFAS COM COMPROVAÇÃO DE EXECUÇÃO?</t>
  </si>
  <si>
    <t>Local sem vazamentos?</t>
  </si>
  <si>
    <t>CAIXA DE GORDURA</t>
  </si>
  <si>
    <t>LIMPEZA DAS CAIXAS DE GORDURA COM COMPROVAÇÃO DE EXECUÇÃO? CADA 6 MESES</t>
  </si>
  <si>
    <t xml:space="preserve">GERADORA DE ÁGUA QUENTE - FORNALHAS </t>
  </si>
  <si>
    <t>LAUDO MANUTENÇÃO E LIMPEZA DAS GERADORAS DE AGUA QUENTE</t>
  </si>
  <si>
    <t>LIMPEZA DO SISTEMA EM DIA?</t>
  </si>
  <si>
    <t>REDE EM CONFORMIDADE?</t>
  </si>
  <si>
    <t>MAQUINAS LIMPAS E FUNCIONANDO?</t>
  </si>
  <si>
    <t>CERTIFICADO DOS EPIS EPCS ESPECIFICOS?</t>
  </si>
  <si>
    <t>POSSUI LAUDO E PRONTUARIO?</t>
  </si>
  <si>
    <t>REFRIGERAÇÃO -CÂMARAS FRIGORÍFICAS / BALCÕES</t>
  </si>
  <si>
    <t>BOMBAS EM FUNCIONAMENTO?</t>
  </si>
  <si>
    <t xml:space="preserve">BOMBAS RESERVA? </t>
  </si>
  <si>
    <t>HÁ RALOS ANTI TURBILHONAMENTO E ESTÃO FIXADOS?</t>
  </si>
  <si>
    <t>BAR em boas condições?</t>
  </si>
  <si>
    <t>SAUNA FEMININA EM CONFORMIDADE?</t>
  </si>
  <si>
    <t>SAUNA MASCULINA EM CONFORMIDADE?</t>
  </si>
  <si>
    <t>VESTIARIO FEMININO EM CONFORMIDADE?</t>
  </si>
  <si>
    <t>VESTIARIO MASCULINO EM CONFORMIDADE?</t>
  </si>
  <si>
    <t>DEPARTAMENTO DE MANUTENÇÃO</t>
  </si>
  <si>
    <t>ALMOXARIFADO ORGANIZADO E CONSERVADO?</t>
  </si>
  <si>
    <t>MAQUINAS E EQUIPAMENTOS PARADOS NA MANUTENÇÃO?</t>
  </si>
  <si>
    <t>DEPARTAMENTO GOVERNANÇA</t>
  </si>
  <si>
    <t>DEPOSIDOS ORGANIZADOS E EM BOAS CONDIÇÕES?</t>
  </si>
  <si>
    <t>SAUNA SECA = O EQUIPAMENTO ESTÁ CONSERVADO? PROTEGIDO?</t>
  </si>
  <si>
    <t>CONSERVAÇÃO DO LOCAL  E ARMARIOS COLABORADORES?</t>
  </si>
  <si>
    <t>EQUIPAMENTOS EM BOAS CONDIÇÕES?</t>
  </si>
  <si>
    <t>FRIGOBAR E EQUIPAMENTOS</t>
  </si>
  <si>
    <t>APARTAMENTO 11</t>
  </si>
  <si>
    <t>APARTAMENTO 12</t>
  </si>
  <si>
    <t>APARTAMENTO 13</t>
  </si>
  <si>
    <t>APARTAMENTO 14</t>
  </si>
  <si>
    <t>APARTAMENTO 15</t>
  </si>
  <si>
    <t>APARTAMENTO 16</t>
  </si>
  <si>
    <t>APARTAMENTO 17</t>
  </si>
  <si>
    <t>APARTAMENTO 18</t>
  </si>
  <si>
    <t>APARTAMENTO 19</t>
  </si>
  <si>
    <t>APARTAMENTO 20</t>
  </si>
  <si>
    <t/>
  </si>
  <si>
    <t>Peso Sub Grupo</t>
  </si>
  <si>
    <t>PRÉDIO - ALEXANIA - CORREDORES</t>
  </si>
  <si>
    <t>PRÉDIO ALEXANIA 1 - CORREDORES</t>
  </si>
  <si>
    <t>PRÉDIO ALEXANIA 2 - CORREDORES</t>
  </si>
  <si>
    <t>BLOCO A - CORREDORES</t>
  </si>
  <si>
    <t>BLOCO B - CORREDORES</t>
  </si>
  <si>
    <t>BLOCO C - CORREDORES</t>
  </si>
  <si>
    <t>PRÉDIO - CORREDORES</t>
  </si>
  <si>
    <t>AQUAPARK</t>
  </si>
  <si>
    <t>AQUAPARK - PISCINAS - CASA DE BOMBAS</t>
  </si>
  <si>
    <t>AQUAPARK - CLIMATIZAÇÃO</t>
  </si>
  <si>
    <t>AREA GOURMET</t>
  </si>
  <si>
    <t>FILTROS D'ÁGUA</t>
  </si>
  <si>
    <t>RESPONSAVEL TECNICO</t>
  </si>
  <si>
    <t>Certificado do Responsável Técnico Quimico do empreendimento com ART</t>
  </si>
  <si>
    <t>Peso Grupo</t>
  </si>
  <si>
    <t>AS PAREDES E TETO ESTÃO CONSERVADAS?</t>
  </si>
  <si>
    <t>Manutenção</t>
  </si>
  <si>
    <t>Peso Subgrupo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</si>
</sst>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2" xfId="0" applyBorder="1" applyProtection="1">
      <protection locked="0"/>
    </xf>
    <xf numFmtId="0" fontId="0" fillId="0" borderId="0" xfId="0" applyProtection="1">
      <protection locked="0"/>
    </xf>
    <xf numFmtId="0" fontId="0" fillId="0" borderId="1" xfId="0" applyFill="1" applyBorder="1" applyProtection="1">
      <protection locked="0"/>
    </xf>
    <xf numFmtId="0" fontId="0" fillId="0" borderId="0" xfId="0" applyFill="1"/>
    <xf numFmtId="0" fontId="0" fillId="0" borderId="1" xfId="0" applyFill="1" applyBorder="1" applyAlignment="1" applyProtection="1">
      <alignment horizontal="center"/>
      <protection locked="0"/>
    </xf>
    <xf numFmtId="0" fontId="0" fillId="0" borderId="1" xfId="0" applyFill="1" applyBorder="1" applyAlignment="1" applyProtection="1">
      <alignment horizontal="center" vertical="center" wrapText="1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0" fillId="0" borderId="1" xfId="0" quotePrefix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9796-B4A1-4DDF-A550-5410E59606E2}">
  <dimension ref="A1:M908"/>
  <sheetViews>
    <sheetView tabSelected="1" zoomScale="110" zoomScaleNormal="110" workbookViewId="0">
      <selection activeCell="F1" sqref="F1"/>
    </sheetView>
  </sheetViews>
  <sheetFormatPr defaultRowHeight="15" x14ac:dyDescent="0.25"/>
  <cols>
    <col min="1" max="1" width="11" style="4" customWidth="1"/>
    <col min="2" max="2" width="19.42578125" style="5" customWidth="1"/>
    <col min="3" max="3" width="24.42578125" style="6" customWidth="1"/>
    <col min="4" max="4" width="13.5703125" style="5" customWidth="1"/>
    <col min="5" max="5" width="49.85546875" style="6" customWidth="1"/>
    <col min="6" max="6" width="11.5703125" style="5" customWidth="1"/>
    <col min="7" max="7" width="75" style="6" bestFit="1" customWidth="1"/>
    <col min="8" max="8" width="14.5703125" style="7" customWidth="1"/>
    <col min="9" max="12" width="16.7109375" style="5" customWidth="1"/>
    <col min="13" max="13" width="28.42578125" style="5" customWidth="1"/>
  </cols>
  <sheetData>
    <row r="1" spans="1:13" s="20" customFormat="1" ht="30" x14ac:dyDescent="0.25">
      <c r="A1" s="1" t="s">
        <v>0</v>
      </c>
      <c r="B1" s="1" t="s">
        <v>1</v>
      </c>
      <c r="C1" s="18" t="s">
        <v>2</v>
      </c>
      <c r="D1" s="19" t="s">
        <v>498</v>
      </c>
      <c r="E1" s="18" t="s">
        <v>3</v>
      </c>
      <c r="F1" s="19" t="s">
        <v>501</v>
      </c>
      <c r="G1" s="18" t="s">
        <v>4</v>
      </c>
      <c r="H1" s="1" t="s">
        <v>5</v>
      </c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</row>
    <row r="2" spans="1:13" x14ac:dyDescent="0.25">
      <c r="A2" s="4">
        <v>1</v>
      </c>
      <c r="B2" s="5" t="s">
        <v>11</v>
      </c>
      <c r="C2" s="6" t="s">
        <v>12</v>
      </c>
      <c r="D2" s="5">
        <f>VLOOKUP(C2,'PESO GRUPO'!A$1:B$9,2,FALSE)</f>
        <v>30</v>
      </c>
      <c r="E2" s="6" t="s">
        <v>13</v>
      </c>
      <c r="F2" s="21">
        <f>VLOOKUP(E2,'PESOS SUBGRUPOS'!B$2:C$193,2,FALSE)</f>
        <v>100</v>
      </c>
      <c r="G2" s="6" t="s">
        <v>14</v>
      </c>
      <c r="H2" s="7" t="s">
        <v>15</v>
      </c>
      <c r="I2" s="5">
        <v>80</v>
      </c>
      <c r="M2" s="5" t="s">
        <v>500</v>
      </c>
    </row>
    <row r="3" spans="1:13" x14ac:dyDescent="0.25">
      <c r="A3" s="4">
        <v>2</v>
      </c>
      <c r="B3" s="5" t="s">
        <v>16</v>
      </c>
      <c r="C3" s="6" t="s">
        <v>12</v>
      </c>
      <c r="D3" s="5">
        <f>VLOOKUP(C3,'PESO GRUPO'!A$1:B$9,2,FALSE)</f>
        <v>30</v>
      </c>
      <c r="E3" s="6" t="s">
        <v>13</v>
      </c>
      <c r="F3" s="5">
        <f>VLOOKUP(E3,'PESOS SUBGRUPOS'!B$2:C$193,2,FALSE)</f>
        <v>100</v>
      </c>
      <c r="G3" s="6" t="s">
        <v>17</v>
      </c>
      <c r="H3" s="7" t="s">
        <v>15</v>
      </c>
      <c r="I3" s="5">
        <v>0</v>
      </c>
      <c r="M3" s="5" t="s">
        <v>500</v>
      </c>
    </row>
    <row r="4" spans="1:13" x14ac:dyDescent="0.25">
      <c r="A4" s="4">
        <v>3</v>
      </c>
      <c r="B4" s="5" t="s">
        <v>11</v>
      </c>
      <c r="C4" s="6" t="s">
        <v>12</v>
      </c>
      <c r="D4" s="5">
        <f>VLOOKUP(C4,'PESO GRUPO'!A$1:B$9,2,FALSE)</f>
        <v>30</v>
      </c>
      <c r="E4" s="6" t="s">
        <v>13</v>
      </c>
      <c r="F4" s="5">
        <f>VLOOKUP(E4,'PESOS SUBGRUPOS'!B$2:C$193,2,FALSE)</f>
        <v>100</v>
      </c>
      <c r="G4" s="6" t="s">
        <v>18</v>
      </c>
      <c r="H4" s="7" t="s">
        <v>15</v>
      </c>
      <c r="I4" s="5">
        <v>40</v>
      </c>
      <c r="M4" s="5" t="s">
        <v>500</v>
      </c>
    </row>
    <row r="5" spans="1:13" x14ac:dyDescent="0.25">
      <c r="A5" s="4">
        <v>4</v>
      </c>
      <c r="B5" s="5" t="s">
        <v>16</v>
      </c>
      <c r="C5" s="6" t="s">
        <v>12</v>
      </c>
      <c r="D5" s="5">
        <f>VLOOKUP(C5,'PESO GRUPO'!A$1:B$9,2,FALSE)</f>
        <v>30</v>
      </c>
      <c r="E5" s="6" t="s">
        <v>13</v>
      </c>
      <c r="F5" s="5">
        <f>VLOOKUP(E5,'PESOS SUBGRUPOS'!B$2:C$193,2,FALSE)</f>
        <v>100</v>
      </c>
      <c r="G5" s="6" t="s">
        <v>19</v>
      </c>
      <c r="H5" s="7" t="s">
        <v>15</v>
      </c>
      <c r="I5" s="5">
        <v>0</v>
      </c>
      <c r="M5" s="5" t="s">
        <v>500</v>
      </c>
    </row>
    <row r="6" spans="1:13" x14ac:dyDescent="0.25">
      <c r="A6" s="4">
        <v>5</v>
      </c>
      <c r="B6" s="5" t="s">
        <v>16</v>
      </c>
      <c r="C6" s="6" t="s">
        <v>12</v>
      </c>
      <c r="D6" s="5">
        <f>VLOOKUP(C6,'PESO GRUPO'!A$1:B$9,2,FALSE)</f>
        <v>30</v>
      </c>
      <c r="E6" s="6" t="s">
        <v>13</v>
      </c>
      <c r="F6" s="5">
        <f>VLOOKUP(E6,'PESOS SUBGRUPOS'!B$2:C$193,2,FALSE)</f>
        <v>100</v>
      </c>
      <c r="G6" s="6" t="s">
        <v>20</v>
      </c>
      <c r="H6" s="7" t="s">
        <v>15</v>
      </c>
      <c r="I6" s="5">
        <v>0</v>
      </c>
      <c r="M6" s="5" t="s">
        <v>500</v>
      </c>
    </row>
    <row r="7" spans="1:13" x14ac:dyDescent="0.25">
      <c r="A7" s="4">
        <v>6</v>
      </c>
      <c r="B7" s="5" t="s">
        <v>11</v>
      </c>
      <c r="C7" s="6" t="s">
        <v>12</v>
      </c>
      <c r="D7" s="5">
        <f>VLOOKUP(C7,'PESO GRUPO'!A$1:B$9,2,FALSE)</f>
        <v>30</v>
      </c>
      <c r="E7" s="6" t="s">
        <v>21</v>
      </c>
      <c r="F7" s="5">
        <f>VLOOKUP(E7,'PESOS SUBGRUPOS'!B$2:C$193,2,FALSE)</f>
        <v>100</v>
      </c>
      <c r="G7" s="6" t="s">
        <v>411</v>
      </c>
      <c r="H7" s="7" t="s">
        <v>15</v>
      </c>
      <c r="I7" s="5">
        <v>80</v>
      </c>
      <c r="M7" s="5" t="s">
        <v>500</v>
      </c>
    </row>
    <row r="8" spans="1:13" x14ac:dyDescent="0.25">
      <c r="A8" s="4">
        <v>7</v>
      </c>
      <c r="B8" s="5" t="s">
        <v>11</v>
      </c>
      <c r="C8" s="6" t="s">
        <v>12</v>
      </c>
      <c r="D8" s="5">
        <f>VLOOKUP(C8,'PESO GRUPO'!A$1:B$9,2,FALSE)</f>
        <v>30</v>
      </c>
      <c r="E8" s="6" t="s">
        <v>22</v>
      </c>
      <c r="F8" s="5">
        <f>VLOOKUP(E8,'PESOS SUBGRUPOS'!B$2:C$193,2,FALSE)</f>
        <v>100</v>
      </c>
      <c r="G8" s="6" t="s">
        <v>412</v>
      </c>
      <c r="H8" s="7" t="s">
        <v>15</v>
      </c>
      <c r="I8" s="5">
        <v>80</v>
      </c>
      <c r="M8" s="5" t="s">
        <v>500</v>
      </c>
    </row>
    <row r="9" spans="1:13" x14ac:dyDescent="0.25">
      <c r="A9" s="4">
        <v>8</v>
      </c>
      <c r="B9" s="5" t="s">
        <v>11</v>
      </c>
      <c r="C9" s="6" t="s">
        <v>12</v>
      </c>
      <c r="D9" s="5">
        <f>VLOOKUP(C9,'PESO GRUPO'!A$1:B$9,2,FALSE)</f>
        <v>30</v>
      </c>
      <c r="E9" s="6" t="s">
        <v>23</v>
      </c>
      <c r="F9" s="5">
        <f>VLOOKUP(E9,'PESOS SUBGRUPOS'!B$2:C$193,2,FALSE)</f>
        <v>100</v>
      </c>
      <c r="G9" s="6" t="s">
        <v>413</v>
      </c>
      <c r="H9" s="7" t="s">
        <v>15</v>
      </c>
      <c r="I9" s="5">
        <v>80</v>
      </c>
      <c r="M9" s="5" t="s">
        <v>500</v>
      </c>
    </row>
    <row r="10" spans="1:13" x14ac:dyDescent="0.25">
      <c r="A10" s="4">
        <v>9</v>
      </c>
      <c r="B10" s="5" t="s">
        <v>11</v>
      </c>
      <c r="C10" s="6" t="s">
        <v>12</v>
      </c>
      <c r="D10" s="5">
        <f>VLOOKUP(C10,'PESO GRUPO'!A$1:B$9,2,FALSE)</f>
        <v>30</v>
      </c>
      <c r="E10" s="6" t="s">
        <v>23</v>
      </c>
      <c r="F10" s="5">
        <f>VLOOKUP(E10,'PESOS SUBGRUPOS'!B$2:C$193,2,FALSE)</f>
        <v>100</v>
      </c>
      <c r="G10" s="6" t="s">
        <v>414</v>
      </c>
      <c r="H10" s="7" t="s">
        <v>15</v>
      </c>
      <c r="I10" s="5">
        <v>60</v>
      </c>
      <c r="M10" s="5" t="s">
        <v>500</v>
      </c>
    </row>
    <row r="11" spans="1:13" x14ac:dyDescent="0.25">
      <c r="A11" s="4">
        <v>10</v>
      </c>
      <c r="B11" s="5" t="s">
        <v>11</v>
      </c>
      <c r="C11" s="6" t="s">
        <v>12</v>
      </c>
      <c r="D11" s="5">
        <f>VLOOKUP(C11,'PESO GRUPO'!A$1:B$9,2,FALSE)</f>
        <v>30</v>
      </c>
      <c r="E11" s="6" t="s">
        <v>23</v>
      </c>
      <c r="F11" s="5">
        <f>VLOOKUP(E11,'PESOS SUBGRUPOS'!B$2:C$193,2,FALSE)</f>
        <v>100</v>
      </c>
      <c r="G11" s="6" t="s">
        <v>423</v>
      </c>
      <c r="H11" s="7" t="s">
        <v>15</v>
      </c>
      <c r="I11" s="5">
        <v>0</v>
      </c>
      <c r="M11" s="5" t="s">
        <v>500</v>
      </c>
    </row>
    <row r="12" spans="1:13" x14ac:dyDescent="0.25">
      <c r="A12" s="4">
        <v>11</v>
      </c>
      <c r="B12" s="5" t="s">
        <v>11</v>
      </c>
      <c r="C12" s="6" t="s">
        <v>12</v>
      </c>
      <c r="D12" s="5">
        <f>VLOOKUP(C12,'PESO GRUPO'!A$1:B$9,2,FALSE)</f>
        <v>30</v>
      </c>
      <c r="E12" s="6" t="s">
        <v>23</v>
      </c>
      <c r="F12" s="5">
        <f>VLOOKUP(E12,'PESOS SUBGRUPOS'!B$2:C$193,2,FALSE)</f>
        <v>100</v>
      </c>
      <c r="G12" s="6" t="s">
        <v>88</v>
      </c>
      <c r="H12" s="7" t="s">
        <v>15</v>
      </c>
      <c r="I12" s="5">
        <v>0</v>
      </c>
      <c r="M12" s="5" t="s">
        <v>500</v>
      </c>
    </row>
    <row r="13" spans="1:13" x14ac:dyDescent="0.25">
      <c r="A13" s="4">
        <v>12</v>
      </c>
      <c r="B13" s="5" t="s">
        <v>11</v>
      </c>
      <c r="C13" s="6" t="s">
        <v>12</v>
      </c>
      <c r="D13" s="5">
        <f>VLOOKUP(C13,'PESO GRUPO'!A$1:B$9,2,FALSE)</f>
        <v>30</v>
      </c>
      <c r="E13" s="6" t="s">
        <v>23</v>
      </c>
      <c r="F13" s="5">
        <f>VLOOKUP(E13,'PESOS SUBGRUPOS'!B$2:C$193,2,FALSE)</f>
        <v>100</v>
      </c>
      <c r="G13" s="6" t="s">
        <v>89</v>
      </c>
      <c r="H13" s="7" t="s">
        <v>15</v>
      </c>
      <c r="I13" s="5">
        <v>0</v>
      </c>
      <c r="M13" s="5" t="s">
        <v>500</v>
      </c>
    </row>
    <row r="14" spans="1:13" x14ac:dyDescent="0.25">
      <c r="A14" s="4">
        <v>13</v>
      </c>
      <c r="B14" s="5" t="s">
        <v>11</v>
      </c>
      <c r="C14" s="6" t="s">
        <v>12</v>
      </c>
      <c r="D14" s="5">
        <f>VLOOKUP(C14,'PESO GRUPO'!A$1:B$9,2,FALSE)</f>
        <v>30</v>
      </c>
      <c r="E14" s="6" t="s">
        <v>23</v>
      </c>
      <c r="F14" s="5">
        <f>VLOOKUP(E14,'PESOS SUBGRUPOS'!B$2:C$193,2,FALSE)</f>
        <v>100</v>
      </c>
      <c r="G14" s="6" t="s">
        <v>90</v>
      </c>
      <c r="H14" s="7" t="s">
        <v>15</v>
      </c>
      <c r="I14" s="5">
        <v>0</v>
      </c>
      <c r="M14" s="5" t="s">
        <v>500</v>
      </c>
    </row>
    <row r="15" spans="1:13" x14ac:dyDescent="0.25">
      <c r="A15" s="4">
        <v>14</v>
      </c>
      <c r="B15" s="5" t="s">
        <v>11</v>
      </c>
      <c r="C15" s="6" t="s">
        <v>12</v>
      </c>
      <c r="D15" s="5">
        <f>VLOOKUP(C15,'PESO GRUPO'!A$1:B$9,2,FALSE)</f>
        <v>30</v>
      </c>
      <c r="E15" s="6" t="s">
        <v>98</v>
      </c>
      <c r="F15" s="5">
        <f>VLOOKUP(E15,'PESOS SUBGRUPOS'!B$2:C$193,2,FALSE)</f>
        <v>100</v>
      </c>
      <c r="G15" s="6" t="s">
        <v>415</v>
      </c>
      <c r="H15" s="7" t="s">
        <v>15</v>
      </c>
      <c r="I15" s="5">
        <v>60</v>
      </c>
      <c r="M15" s="5" t="s">
        <v>500</v>
      </c>
    </row>
    <row r="16" spans="1:13" s="11" customFormat="1" x14ac:dyDescent="0.25">
      <c r="A16" s="4">
        <v>15</v>
      </c>
      <c r="B16" s="12" t="s">
        <v>11</v>
      </c>
      <c r="C16" s="10" t="s">
        <v>12</v>
      </c>
      <c r="D16" s="5">
        <f>VLOOKUP(C16,'PESO GRUPO'!A$1:B$9,2,FALSE)</f>
        <v>30</v>
      </c>
      <c r="E16" s="10" t="s">
        <v>25</v>
      </c>
      <c r="F16" s="5">
        <f>VLOOKUP(E16,'PESOS SUBGRUPOS'!B$2:C$193,2,FALSE)</f>
        <v>60</v>
      </c>
      <c r="G16" s="10" t="s">
        <v>26</v>
      </c>
      <c r="H16" s="13" t="s">
        <v>15</v>
      </c>
      <c r="I16" s="12">
        <v>60</v>
      </c>
      <c r="J16" s="12"/>
      <c r="K16" s="12"/>
      <c r="L16" s="12"/>
      <c r="M16" s="5" t="s">
        <v>500</v>
      </c>
    </row>
    <row r="17" spans="1:13" s="11" customFormat="1" x14ac:dyDescent="0.25">
      <c r="A17" s="4">
        <v>16</v>
      </c>
      <c r="B17" s="12" t="s">
        <v>11</v>
      </c>
      <c r="C17" s="10" t="s">
        <v>12</v>
      </c>
      <c r="D17" s="5">
        <f>VLOOKUP(C17,'PESO GRUPO'!A$1:B$9,2,FALSE)</f>
        <v>30</v>
      </c>
      <c r="E17" s="10" t="s">
        <v>25</v>
      </c>
      <c r="F17" s="5">
        <f>VLOOKUP(E17,'PESOS SUBGRUPOS'!B$2:C$193,2,FALSE)</f>
        <v>60</v>
      </c>
      <c r="G17" s="10" t="s">
        <v>27</v>
      </c>
      <c r="H17" s="13" t="s">
        <v>15</v>
      </c>
      <c r="I17" s="12">
        <v>60</v>
      </c>
      <c r="J17" s="12"/>
      <c r="K17" s="12"/>
      <c r="L17" s="12"/>
      <c r="M17" s="5" t="s">
        <v>500</v>
      </c>
    </row>
    <row r="18" spans="1:13" x14ac:dyDescent="0.25">
      <c r="A18" s="4">
        <v>17</v>
      </c>
      <c r="B18" s="5" t="s">
        <v>11</v>
      </c>
      <c r="C18" s="6" t="s">
        <v>12</v>
      </c>
      <c r="D18" s="5">
        <f>VLOOKUP(C18,'PESO GRUPO'!A$1:B$9,2,FALSE)</f>
        <v>30</v>
      </c>
      <c r="E18" s="6" t="s">
        <v>28</v>
      </c>
      <c r="F18" s="5">
        <f>VLOOKUP(E18,'PESOS SUBGRUPOS'!B$2:C$193,2,FALSE)</f>
        <v>60</v>
      </c>
      <c r="G18" s="6" t="s">
        <v>29</v>
      </c>
      <c r="H18" s="7" t="s">
        <v>15</v>
      </c>
      <c r="I18" s="5">
        <v>40</v>
      </c>
      <c r="M18" s="5" t="s">
        <v>500</v>
      </c>
    </row>
    <row r="19" spans="1:13" x14ac:dyDescent="0.25">
      <c r="A19" s="4">
        <v>18</v>
      </c>
      <c r="B19" s="5" t="s">
        <v>11</v>
      </c>
      <c r="C19" s="6" t="s">
        <v>12</v>
      </c>
      <c r="D19" s="5">
        <f>VLOOKUP(C19,'PESO GRUPO'!A$1:B$9,2,FALSE)</f>
        <v>30</v>
      </c>
      <c r="E19" s="6" t="s">
        <v>30</v>
      </c>
      <c r="F19" s="5">
        <f>VLOOKUP(E19,'PESOS SUBGRUPOS'!B$2:C$193,2,FALSE)</f>
        <v>100</v>
      </c>
      <c r="G19" s="10" t="s">
        <v>416</v>
      </c>
      <c r="H19" s="7" t="s">
        <v>15</v>
      </c>
      <c r="I19" s="5">
        <v>80</v>
      </c>
      <c r="M19" s="5" t="s">
        <v>500</v>
      </c>
    </row>
    <row r="20" spans="1:13" x14ac:dyDescent="0.25">
      <c r="A20" s="4">
        <v>19</v>
      </c>
      <c r="B20" s="5" t="s">
        <v>11</v>
      </c>
      <c r="C20" s="6" t="s">
        <v>12</v>
      </c>
      <c r="D20" s="5">
        <f>VLOOKUP(C20,'PESO GRUPO'!A$1:B$9,2,FALSE)</f>
        <v>30</v>
      </c>
      <c r="E20" s="6" t="s">
        <v>30</v>
      </c>
      <c r="F20" s="5">
        <f>VLOOKUP(E20,'PESOS SUBGRUPOS'!B$2:C$193,2,FALSE)</f>
        <v>100</v>
      </c>
      <c r="G20" s="10" t="s">
        <v>417</v>
      </c>
      <c r="H20" s="7" t="s">
        <v>15</v>
      </c>
      <c r="I20" s="5">
        <v>60</v>
      </c>
      <c r="M20" s="5" t="s">
        <v>500</v>
      </c>
    </row>
    <row r="21" spans="1:13" x14ac:dyDescent="0.25">
      <c r="A21" s="4">
        <v>20</v>
      </c>
      <c r="B21" s="5" t="s">
        <v>11</v>
      </c>
      <c r="C21" s="6" t="s">
        <v>12</v>
      </c>
      <c r="D21" s="5">
        <f>VLOOKUP(C21,'PESO GRUPO'!A$1:B$9,2,FALSE)</f>
        <v>30</v>
      </c>
      <c r="E21" s="6" t="s">
        <v>30</v>
      </c>
      <c r="F21" s="5">
        <f>VLOOKUP(E21,'PESOS SUBGRUPOS'!B$2:C$193,2,FALSE)</f>
        <v>100</v>
      </c>
      <c r="G21" s="6" t="s">
        <v>106</v>
      </c>
      <c r="H21" s="7" t="s">
        <v>15</v>
      </c>
      <c r="I21" s="5">
        <v>30</v>
      </c>
      <c r="M21" s="5" t="s">
        <v>500</v>
      </c>
    </row>
    <row r="22" spans="1:13" x14ac:dyDescent="0.25">
      <c r="A22" s="4">
        <v>21</v>
      </c>
      <c r="B22" s="5" t="s">
        <v>11</v>
      </c>
      <c r="C22" s="6" t="s">
        <v>12</v>
      </c>
      <c r="D22" s="5">
        <f>VLOOKUP(C22,'PESO GRUPO'!A$1:B$9,2,FALSE)</f>
        <v>30</v>
      </c>
      <c r="E22" s="6" t="s">
        <v>30</v>
      </c>
      <c r="F22" s="5">
        <f>VLOOKUP(E22,'PESOS SUBGRUPOS'!B$2:C$193,2,FALSE)</f>
        <v>100</v>
      </c>
      <c r="G22" s="6" t="s">
        <v>107</v>
      </c>
      <c r="H22" s="7" t="s">
        <v>15</v>
      </c>
      <c r="I22" s="5">
        <v>20</v>
      </c>
      <c r="M22" s="5" t="s">
        <v>500</v>
      </c>
    </row>
    <row r="23" spans="1:13" x14ac:dyDescent="0.25">
      <c r="A23" s="4">
        <v>22</v>
      </c>
      <c r="B23" s="5" t="s">
        <v>11</v>
      </c>
      <c r="C23" s="6" t="s">
        <v>12</v>
      </c>
      <c r="D23" s="5">
        <f>VLOOKUP(C23,'PESO GRUPO'!A$1:B$9,2,FALSE)</f>
        <v>30</v>
      </c>
      <c r="E23" s="6" t="s">
        <v>33</v>
      </c>
      <c r="F23" s="5">
        <f>VLOOKUP(E23,'PESOS SUBGRUPOS'!B$2:C$193,2,FALSE)</f>
        <v>60</v>
      </c>
      <c r="G23" s="6" t="s">
        <v>34</v>
      </c>
      <c r="H23" s="7" t="s">
        <v>15</v>
      </c>
      <c r="I23" s="5">
        <v>60</v>
      </c>
      <c r="M23" s="5" t="s">
        <v>500</v>
      </c>
    </row>
    <row r="24" spans="1:13" x14ac:dyDescent="0.25">
      <c r="A24" s="4">
        <v>23</v>
      </c>
      <c r="B24" s="5" t="s">
        <v>11</v>
      </c>
      <c r="C24" s="6" t="s">
        <v>12</v>
      </c>
      <c r="D24" s="5">
        <f>VLOOKUP(C24,'PESO GRUPO'!A$1:B$9,2,FALSE)</f>
        <v>30</v>
      </c>
      <c r="E24" s="6" t="s">
        <v>33</v>
      </c>
      <c r="F24" s="5">
        <f>VLOOKUP(E24,'PESOS SUBGRUPOS'!B$2:C$193,2,FALSE)</f>
        <v>60</v>
      </c>
      <c r="G24" s="6" t="s">
        <v>96</v>
      </c>
      <c r="H24" s="7" t="s">
        <v>15</v>
      </c>
      <c r="I24" s="5">
        <v>40</v>
      </c>
      <c r="M24" s="5" t="s">
        <v>500</v>
      </c>
    </row>
    <row r="25" spans="1:13" x14ac:dyDescent="0.25">
      <c r="A25" s="4">
        <v>24</v>
      </c>
      <c r="B25" s="5" t="s">
        <v>11</v>
      </c>
      <c r="C25" s="6" t="s">
        <v>12</v>
      </c>
      <c r="D25" s="5">
        <f>VLOOKUP(C25,'PESO GRUPO'!A$1:B$9,2,FALSE)</f>
        <v>30</v>
      </c>
      <c r="E25" s="6" t="s">
        <v>33</v>
      </c>
      <c r="F25" s="5">
        <f>VLOOKUP(E25,'PESOS SUBGRUPOS'!B$2:C$193,2,FALSE)</f>
        <v>60</v>
      </c>
      <c r="G25" s="6" t="s">
        <v>97</v>
      </c>
      <c r="H25" s="7" t="s">
        <v>15</v>
      </c>
      <c r="I25" s="5">
        <v>60</v>
      </c>
      <c r="M25" s="5" t="s">
        <v>500</v>
      </c>
    </row>
    <row r="26" spans="1:13" x14ac:dyDescent="0.25">
      <c r="A26" s="4">
        <v>25</v>
      </c>
      <c r="B26" s="5" t="s">
        <v>11</v>
      </c>
      <c r="C26" s="6" t="s">
        <v>12</v>
      </c>
      <c r="D26" s="5">
        <f>VLOOKUP(C26,'PESO GRUPO'!A$1:B$9,2,FALSE)</f>
        <v>30</v>
      </c>
      <c r="E26" s="6" t="s">
        <v>35</v>
      </c>
      <c r="F26" s="5">
        <f>VLOOKUP(E26,'PESOS SUBGRUPOS'!B$2:C$193,2,FALSE)</f>
        <v>80</v>
      </c>
      <c r="G26" s="6" t="s">
        <v>36</v>
      </c>
      <c r="H26" s="7" t="s">
        <v>15</v>
      </c>
      <c r="I26" s="5">
        <v>80</v>
      </c>
      <c r="M26" s="5" t="s">
        <v>500</v>
      </c>
    </row>
    <row r="27" spans="1:13" x14ac:dyDescent="0.25">
      <c r="A27" s="4">
        <v>26</v>
      </c>
      <c r="B27" s="5" t="s">
        <v>11</v>
      </c>
      <c r="C27" s="6" t="s">
        <v>12</v>
      </c>
      <c r="D27" s="5">
        <f>VLOOKUP(C27,'PESO GRUPO'!A$1:B$9,2,FALSE)</f>
        <v>30</v>
      </c>
      <c r="E27" s="6" t="s">
        <v>35</v>
      </c>
      <c r="F27" s="5">
        <f>VLOOKUP(E27,'PESOS SUBGRUPOS'!B$2:C$193,2,FALSE)</f>
        <v>80</v>
      </c>
      <c r="G27" s="6" t="s">
        <v>418</v>
      </c>
      <c r="H27" s="7" t="s">
        <v>15</v>
      </c>
      <c r="I27" s="5">
        <v>60</v>
      </c>
      <c r="M27" s="5" t="s">
        <v>500</v>
      </c>
    </row>
    <row r="28" spans="1:13" x14ac:dyDescent="0.25">
      <c r="A28" s="4">
        <v>27</v>
      </c>
      <c r="B28" s="5" t="s">
        <v>11</v>
      </c>
      <c r="C28" s="6" t="s">
        <v>12</v>
      </c>
      <c r="D28" s="5">
        <f>VLOOKUP(C28,'PESO GRUPO'!A$1:B$9,2,FALSE)</f>
        <v>30</v>
      </c>
      <c r="E28" s="6" t="s">
        <v>35</v>
      </c>
      <c r="F28" s="5">
        <f>VLOOKUP(E28,'PESOS SUBGRUPOS'!B$2:C$193,2,FALSE)</f>
        <v>80</v>
      </c>
      <c r="G28" s="6" t="s">
        <v>419</v>
      </c>
      <c r="H28" s="7" t="s">
        <v>15</v>
      </c>
      <c r="I28" s="5">
        <v>60</v>
      </c>
      <c r="M28" s="5" t="s">
        <v>500</v>
      </c>
    </row>
    <row r="29" spans="1:13" x14ac:dyDescent="0.25">
      <c r="A29" s="4">
        <v>28</v>
      </c>
      <c r="B29" s="5" t="s">
        <v>11</v>
      </c>
      <c r="C29" s="6" t="s">
        <v>12</v>
      </c>
      <c r="D29" s="5">
        <f>VLOOKUP(C29,'PESO GRUPO'!A$1:B$9,2,FALSE)</f>
        <v>30</v>
      </c>
      <c r="E29" s="6" t="s">
        <v>93</v>
      </c>
      <c r="F29" s="5">
        <f>VLOOKUP(E29,'PESOS SUBGRUPOS'!B$2:C$193,2,FALSE)</f>
        <v>60</v>
      </c>
      <c r="G29" s="6" t="s">
        <v>38</v>
      </c>
      <c r="H29" s="7" t="s">
        <v>15</v>
      </c>
      <c r="I29" s="5">
        <v>60</v>
      </c>
      <c r="M29" s="5" t="s">
        <v>500</v>
      </c>
    </row>
    <row r="30" spans="1:13" x14ac:dyDescent="0.25">
      <c r="A30" s="4">
        <v>29</v>
      </c>
      <c r="B30" s="5" t="s">
        <v>11</v>
      </c>
      <c r="C30" s="6" t="s">
        <v>12</v>
      </c>
      <c r="D30" s="5">
        <f>VLOOKUP(C30,'PESO GRUPO'!A$1:B$9,2,FALSE)</f>
        <v>30</v>
      </c>
      <c r="E30" s="6" t="s">
        <v>93</v>
      </c>
      <c r="F30" s="5">
        <f>VLOOKUP(E30,'PESOS SUBGRUPOS'!B$2:C$193,2,FALSE)</f>
        <v>60</v>
      </c>
      <c r="G30" s="6" t="s">
        <v>37</v>
      </c>
      <c r="H30" s="7" t="s">
        <v>15</v>
      </c>
      <c r="I30" s="5">
        <v>60</v>
      </c>
      <c r="M30" s="5" t="s">
        <v>500</v>
      </c>
    </row>
    <row r="31" spans="1:13" x14ac:dyDescent="0.25">
      <c r="A31" s="4">
        <v>30</v>
      </c>
      <c r="B31" s="5" t="s">
        <v>11</v>
      </c>
      <c r="C31" s="6" t="s">
        <v>12</v>
      </c>
      <c r="D31" s="5">
        <f>VLOOKUP(C31,'PESO GRUPO'!A$1:B$9,2,FALSE)</f>
        <v>30</v>
      </c>
      <c r="E31" s="6" t="s">
        <v>93</v>
      </c>
      <c r="F31" s="5">
        <f>VLOOKUP(E31,'PESOS SUBGRUPOS'!B$2:C$193,2,FALSE)</f>
        <v>60</v>
      </c>
      <c r="G31" s="6" t="s">
        <v>420</v>
      </c>
      <c r="H31" s="7" t="s">
        <v>15</v>
      </c>
      <c r="I31" s="5">
        <v>40</v>
      </c>
      <c r="M31" s="5" t="s">
        <v>500</v>
      </c>
    </row>
    <row r="32" spans="1:13" x14ac:dyDescent="0.25">
      <c r="A32" s="4">
        <v>31</v>
      </c>
      <c r="B32" s="5" t="s">
        <v>11</v>
      </c>
      <c r="C32" s="6" t="s">
        <v>12</v>
      </c>
      <c r="D32" s="5">
        <f>VLOOKUP(C32,'PESO GRUPO'!A$1:B$9,2,FALSE)</f>
        <v>30</v>
      </c>
      <c r="E32" s="6" t="s">
        <v>93</v>
      </c>
      <c r="F32" s="5">
        <f>VLOOKUP(E32,'PESOS SUBGRUPOS'!B$2:C$193,2,FALSE)</f>
        <v>60</v>
      </c>
      <c r="G32" s="6" t="s">
        <v>92</v>
      </c>
      <c r="H32" s="7" t="s">
        <v>15</v>
      </c>
      <c r="I32" s="5">
        <v>40</v>
      </c>
      <c r="M32" s="5" t="s">
        <v>500</v>
      </c>
    </row>
    <row r="33" spans="1:13" x14ac:dyDescent="0.25">
      <c r="A33" s="4">
        <v>32</v>
      </c>
      <c r="B33" s="5" t="s">
        <v>11</v>
      </c>
      <c r="C33" s="6" t="s">
        <v>12</v>
      </c>
      <c r="D33" s="5">
        <f>VLOOKUP(C33,'PESO GRUPO'!A$1:B$9,2,FALSE)</f>
        <v>30</v>
      </c>
      <c r="E33" s="6" t="s">
        <v>93</v>
      </c>
      <c r="F33" s="5">
        <f>VLOOKUP(E33,'PESOS SUBGRUPOS'!B$2:C$193,2,FALSE)</f>
        <v>60</v>
      </c>
      <c r="G33" s="6" t="s">
        <v>94</v>
      </c>
      <c r="H33" s="7" t="s">
        <v>15</v>
      </c>
      <c r="I33" s="5">
        <v>10</v>
      </c>
      <c r="M33" s="5" t="s">
        <v>500</v>
      </c>
    </row>
    <row r="34" spans="1:13" x14ac:dyDescent="0.25">
      <c r="A34" s="4">
        <v>33</v>
      </c>
      <c r="B34" s="5" t="s">
        <v>11</v>
      </c>
      <c r="C34" s="6" t="s">
        <v>12</v>
      </c>
      <c r="D34" s="5">
        <f>VLOOKUP(C34,'PESO GRUPO'!A$1:B$9,2,FALSE)</f>
        <v>30</v>
      </c>
      <c r="E34" s="6" t="s">
        <v>93</v>
      </c>
      <c r="F34" s="5">
        <f>VLOOKUP(E34,'PESOS SUBGRUPOS'!B$2:C$193,2,FALSE)</f>
        <v>60</v>
      </c>
      <c r="G34" s="6" t="s">
        <v>95</v>
      </c>
      <c r="H34" s="7" t="s">
        <v>15</v>
      </c>
      <c r="I34" s="5">
        <v>20</v>
      </c>
      <c r="M34" s="5" t="s">
        <v>500</v>
      </c>
    </row>
    <row r="35" spans="1:13" x14ac:dyDescent="0.25">
      <c r="A35" s="4">
        <v>34</v>
      </c>
      <c r="B35" s="5" t="s">
        <v>11</v>
      </c>
      <c r="C35" s="6" t="s">
        <v>12</v>
      </c>
      <c r="D35" s="5">
        <f>VLOOKUP(C35,'PESO GRUPO'!A$1:B$9,2,FALSE)</f>
        <v>30</v>
      </c>
      <c r="E35" s="6" t="s">
        <v>147</v>
      </c>
      <c r="F35" s="5">
        <f>VLOOKUP(E35,'PESOS SUBGRUPOS'!B$2:C$193,2,FALSE)</f>
        <v>60</v>
      </c>
      <c r="G35" s="6" t="s">
        <v>148</v>
      </c>
      <c r="H35" s="7" t="s">
        <v>15</v>
      </c>
      <c r="I35" s="5">
        <v>60</v>
      </c>
      <c r="M35" s="5" t="s">
        <v>500</v>
      </c>
    </row>
    <row r="36" spans="1:13" x14ac:dyDescent="0.25">
      <c r="A36" s="4">
        <v>35</v>
      </c>
      <c r="B36" s="5" t="s">
        <v>11</v>
      </c>
      <c r="C36" s="6" t="s">
        <v>12</v>
      </c>
      <c r="D36" s="5">
        <f>VLOOKUP(C36,'PESO GRUPO'!A$1:B$9,2,FALSE)</f>
        <v>30</v>
      </c>
      <c r="E36" s="6" t="s">
        <v>149</v>
      </c>
      <c r="F36" s="5">
        <f>VLOOKUP(E36,'PESOS SUBGRUPOS'!B$2:C$193,2,FALSE)</f>
        <v>80</v>
      </c>
      <c r="G36" s="6" t="s">
        <v>453</v>
      </c>
      <c r="H36" s="7" t="s">
        <v>15</v>
      </c>
      <c r="I36" s="5">
        <v>80</v>
      </c>
      <c r="M36" s="5" t="s">
        <v>500</v>
      </c>
    </row>
    <row r="37" spans="1:13" x14ac:dyDescent="0.25">
      <c r="A37" s="4">
        <v>36</v>
      </c>
      <c r="B37" s="5" t="s">
        <v>11</v>
      </c>
      <c r="C37" s="6" t="s">
        <v>12</v>
      </c>
      <c r="D37" s="5">
        <f>VLOOKUP(C37,'PESO GRUPO'!A$1:B$9,2,FALSE)</f>
        <v>30</v>
      </c>
      <c r="E37" s="6" t="s">
        <v>149</v>
      </c>
      <c r="F37" s="5">
        <f>VLOOKUP(E37,'PESOS SUBGRUPOS'!B$2:C$193,2,FALSE)</f>
        <v>80</v>
      </c>
      <c r="G37" s="6" t="s">
        <v>452</v>
      </c>
      <c r="H37" s="7" t="s">
        <v>15</v>
      </c>
      <c r="I37" s="5">
        <v>60</v>
      </c>
      <c r="M37" s="5" t="s">
        <v>500</v>
      </c>
    </row>
    <row r="38" spans="1:13" x14ac:dyDescent="0.25">
      <c r="A38" s="4">
        <v>37</v>
      </c>
      <c r="B38" s="5" t="s">
        <v>11</v>
      </c>
      <c r="C38" s="6" t="s">
        <v>12</v>
      </c>
      <c r="D38" s="5">
        <f>VLOOKUP(C38,'PESO GRUPO'!A$1:B$9,2,FALSE)</f>
        <v>30</v>
      </c>
      <c r="E38" s="6" t="s">
        <v>149</v>
      </c>
      <c r="F38" s="5">
        <f>VLOOKUP(E38,'PESOS SUBGRUPOS'!B$2:C$193,2,FALSE)</f>
        <v>80</v>
      </c>
      <c r="G38" s="6" t="s">
        <v>150</v>
      </c>
      <c r="H38" s="7" t="s">
        <v>15</v>
      </c>
      <c r="I38" s="5">
        <v>80</v>
      </c>
      <c r="M38" s="5" t="s">
        <v>500</v>
      </c>
    </row>
    <row r="39" spans="1:13" x14ac:dyDescent="0.25">
      <c r="A39" s="4">
        <v>38</v>
      </c>
      <c r="B39" s="5" t="s">
        <v>11</v>
      </c>
      <c r="C39" s="6" t="s">
        <v>12</v>
      </c>
      <c r="D39" s="5">
        <f>VLOOKUP(C39,'PESO GRUPO'!A$1:B$9,2,FALSE)</f>
        <v>30</v>
      </c>
      <c r="E39" s="6" t="s">
        <v>149</v>
      </c>
      <c r="F39" s="5">
        <f>VLOOKUP(E39,'PESOS SUBGRUPOS'!B$2:C$193,2,FALSE)</f>
        <v>80</v>
      </c>
      <c r="G39" s="6" t="s">
        <v>151</v>
      </c>
      <c r="H39" s="7" t="s">
        <v>15</v>
      </c>
      <c r="I39" s="5">
        <v>60</v>
      </c>
      <c r="M39" s="5" t="s">
        <v>500</v>
      </c>
    </row>
    <row r="40" spans="1:13" x14ac:dyDescent="0.25">
      <c r="A40" s="4">
        <v>39</v>
      </c>
      <c r="B40" s="5" t="s">
        <v>11</v>
      </c>
      <c r="C40" s="6" t="s">
        <v>12</v>
      </c>
      <c r="D40" s="5">
        <f>VLOOKUP(C40,'PESO GRUPO'!A$1:B$9,2,FALSE)</f>
        <v>30</v>
      </c>
      <c r="E40" s="6" t="s">
        <v>39</v>
      </c>
      <c r="F40" s="5">
        <f>VLOOKUP(E40,'PESOS SUBGRUPOS'!B$2:C$193,2,FALSE)</f>
        <v>60</v>
      </c>
      <c r="G40" s="6" t="s">
        <v>91</v>
      </c>
      <c r="H40" s="7" t="s">
        <v>15</v>
      </c>
      <c r="I40" s="5">
        <v>60</v>
      </c>
      <c r="M40" s="5" t="s">
        <v>500</v>
      </c>
    </row>
    <row r="41" spans="1:13" s="11" customFormat="1" x14ac:dyDescent="0.25">
      <c r="A41" s="4">
        <v>40</v>
      </c>
      <c r="B41" s="12" t="s">
        <v>11</v>
      </c>
      <c r="C41" s="10" t="s">
        <v>12</v>
      </c>
      <c r="D41" s="5">
        <f>VLOOKUP(C41,'PESO GRUPO'!A$1:B$9,2,FALSE)</f>
        <v>30</v>
      </c>
      <c r="E41" s="10" t="s">
        <v>46</v>
      </c>
      <c r="F41" s="5">
        <f>VLOOKUP(E41,'PESOS SUBGRUPOS'!B$2:C$193,2,FALSE)</f>
        <v>40</v>
      </c>
      <c r="G41" s="11" t="s">
        <v>421</v>
      </c>
      <c r="H41" s="13" t="s">
        <v>15</v>
      </c>
      <c r="I41" s="12">
        <v>80</v>
      </c>
      <c r="J41" s="12"/>
      <c r="K41" s="12"/>
      <c r="L41" s="12"/>
      <c r="M41" s="5" t="s">
        <v>500</v>
      </c>
    </row>
    <row r="42" spans="1:13" s="11" customFormat="1" x14ac:dyDescent="0.25">
      <c r="A42" s="4">
        <v>41</v>
      </c>
      <c r="B42" s="12" t="s">
        <v>11</v>
      </c>
      <c r="C42" s="10" t="s">
        <v>12</v>
      </c>
      <c r="D42" s="5">
        <f>VLOOKUP(C42,'PESO GRUPO'!A$1:B$9,2,FALSE)</f>
        <v>30</v>
      </c>
      <c r="E42" s="10" t="s">
        <v>46</v>
      </c>
      <c r="F42" s="5">
        <f>VLOOKUP(E42,'PESOS SUBGRUPOS'!B$2:C$193,2,FALSE)</f>
        <v>40</v>
      </c>
      <c r="G42" s="10" t="s">
        <v>422</v>
      </c>
      <c r="H42" s="13" t="s">
        <v>15</v>
      </c>
      <c r="I42" s="12">
        <v>40</v>
      </c>
      <c r="J42" s="12"/>
      <c r="K42" s="12"/>
      <c r="L42" s="12"/>
      <c r="M42" s="5" t="s">
        <v>500</v>
      </c>
    </row>
    <row r="43" spans="1:13" s="11" customFormat="1" x14ac:dyDescent="0.25">
      <c r="A43" s="4">
        <v>42</v>
      </c>
      <c r="B43" s="12" t="s">
        <v>16</v>
      </c>
      <c r="C43" s="10" t="s">
        <v>12</v>
      </c>
      <c r="D43" s="5">
        <f>VLOOKUP(C43,'PESO GRUPO'!A$1:B$9,2,FALSE)</f>
        <v>30</v>
      </c>
      <c r="E43" s="10" t="s">
        <v>46</v>
      </c>
      <c r="F43" s="5">
        <f>VLOOKUP(E43,'PESOS SUBGRUPOS'!B$2:C$193,2,FALSE)</f>
        <v>40</v>
      </c>
      <c r="G43" s="10" t="s">
        <v>47</v>
      </c>
      <c r="H43" s="13" t="s">
        <v>15</v>
      </c>
      <c r="I43" s="14">
        <v>0</v>
      </c>
      <c r="J43" s="12"/>
      <c r="K43" s="12"/>
      <c r="L43" s="12"/>
      <c r="M43" s="5" t="s">
        <v>500</v>
      </c>
    </row>
    <row r="44" spans="1:13" s="11" customFormat="1" x14ac:dyDescent="0.25">
      <c r="A44" s="4">
        <v>43</v>
      </c>
      <c r="B44" s="12" t="s">
        <v>16</v>
      </c>
      <c r="C44" s="10" t="s">
        <v>12</v>
      </c>
      <c r="D44" s="5">
        <f>VLOOKUP(C44,'PESO GRUPO'!A$1:B$9,2,FALSE)</f>
        <v>30</v>
      </c>
      <c r="E44" s="10" t="s">
        <v>46</v>
      </c>
      <c r="F44" s="5">
        <f>VLOOKUP(E44,'PESOS SUBGRUPOS'!B$2:C$193,2,FALSE)</f>
        <v>40</v>
      </c>
      <c r="G44" s="10" t="s">
        <v>53</v>
      </c>
      <c r="H44" s="13" t="s">
        <v>15</v>
      </c>
      <c r="I44" s="12">
        <v>0</v>
      </c>
      <c r="J44" s="12"/>
      <c r="K44" s="12"/>
      <c r="L44" s="12"/>
      <c r="M44" s="5" t="s">
        <v>500</v>
      </c>
    </row>
    <row r="45" spans="1:13" x14ac:dyDescent="0.25">
      <c r="A45" s="4">
        <v>47</v>
      </c>
      <c r="B45" s="5" t="s">
        <v>11</v>
      </c>
      <c r="C45" s="6" t="s">
        <v>12</v>
      </c>
      <c r="D45" s="5">
        <f>VLOOKUP(C45,'PESO GRUPO'!A$1:B$9,2,FALSE)</f>
        <v>30</v>
      </c>
      <c r="E45" s="6" t="s">
        <v>48</v>
      </c>
      <c r="F45" s="5">
        <f>VLOOKUP(E45,'PESOS SUBGRUPOS'!B$2:C$193,2,FALSE)</f>
        <v>80</v>
      </c>
      <c r="G45" s="6" t="s">
        <v>424</v>
      </c>
      <c r="H45" s="7" t="s">
        <v>15</v>
      </c>
      <c r="I45" s="5">
        <v>60</v>
      </c>
      <c r="M45" s="5" t="s">
        <v>500</v>
      </c>
    </row>
    <row r="46" spans="1:13" x14ac:dyDescent="0.25">
      <c r="A46" s="4">
        <v>48</v>
      </c>
      <c r="B46" s="5" t="s">
        <v>11</v>
      </c>
      <c r="C46" s="6" t="s">
        <v>12</v>
      </c>
      <c r="D46" s="5">
        <f>VLOOKUP(C46,'PESO GRUPO'!A$1:B$9,2,FALSE)</f>
        <v>30</v>
      </c>
      <c r="E46" s="6" t="s">
        <v>48</v>
      </c>
      <c r="F46" s="5">
        <f>VLOOKUP(E46,'PESOS SUBGRUPOS'!B$2:C$193,2,FALSE)</f>
        <v>80</v>
      </c>
      <c r="G46" s="6" t="s">
        <v>32</v>
      </c>
      <c r="H46" s="7" t="s">
        <v>15</v>
      </c>
      <c r="I46" s="5">
        <v>0</v>
      </c>
      <c r="M46" s="5" t="s">
        <v>500</v>
      </c>
    </row>
    <row r="47" spans="1:13" x14ac:dyDescent="0.25">
      <c r="A47" s="4">
        <v>49</v>
      </c>
      <c r="B47" s="5" t="s">
        <v>11</v>
      </c>
      <c r="C47" s="6" t="s">
        <v>12</v>
      </c>
      <c r="D47" s="5">
        <f>VLOOKUP(C47,'PESO GRUPO'!A$1:B$9,2,FALSE)</f>
        <v>30</v>
      </c>
      <c r="E47" s="6" t="s">
        <v>49</v>
      </c>
      <c r="F47" s="5">
        <f>VLOOKUP(E47,'PESOS SUBGRUPOS'!B$2:C$193,2,FALSE)</f>
        <v>60</v>
      </c>
      <c r="G47" s="6" t="s">
        <v>425</v>
      </c>
      <c r="H47" s="7" t="s">
        <v>15</v>
      </c>
      <c r="I47" s="5">
        <v>60</v>
      </c>
      <c r="M47" s="5" t="s">
        <v>500</v>
      </c>
    </row>
    <row r="48" spans="1:13" x14ac:dyDescent="0.25">
      <c r="A48" s="4">
        <v>50</v>
      </c>
      <c r="B48" s="5" t="s">
        <v>11</v>
      </c>
      <c r="C48" s="6" t="s">
        <v>12</v>
      </c>
      <c r="D48" s="5">
        <f>VLOOKUP(C48,'PESO GRUPO'!A$1:B$9,2,FALSE)</f>
        <v>30</v>
      </c>
      <c r="E48" s="6" t="s">
        <v>49</v>
      </c>
      <c r="F48" s="5">
        <f>VLOOKUP(E48,'PESOS SUBGRUPOS'!B$2:C$193,2,FALSE)</f>
        <v>60</v>
      </c>
      <c r="G48" s="6" t="s">
        <v>426</v>
      </c>
      <c r="H48" s="7" t="s">
        <v>15</v>
      </c>
      <c r="I48" s="5">
        <v>60</v>
      </c>
      <c r="M48" s="5" t="s">
        <v>500</v>
      </c>
    </row>
    <row r="49" spans="1:13" x14ac:dyDescent="0.25">
      <c r="A49" s="4">
        <v>51</v>
      </c>
      <c r="B49" s="5" t="s">
        <v>11</v>
      </c>
      <c r="C49" s="6" t="s">
        <v>12</v>
      </c>
      <c r="D49" s="5">
        <f>VLOOKUP(C49,'PESO GRUPO'!A$1:B$9,2,FALSE)</f>
        <v>30</v>
      </c>
      <c r="E49" s="6" t="s">
        <v>50</v>
      </c>
      <c r="F49" s="5">
        <f>VLOOKUP(E49,'PESOS SUBGRUPOS'!B$2:C$193,2,FALSE)</f>
        <v>60</v>
      </c>
      <c r="G49" s="6" t="s">
        <v>51</v>
      </c>
      <c r="H49" s="7" t="s">
        <v>15</v>
      </c>
      <c r="I49" s="5">
        <v>60</v>
      </c>
      <c r="M49" s="5" t="s">
        <v>500</v>
      </c>
    </row>
    <row r="50" spans="1:13" x14ac:dyDescent="0.25">
      <c r="A50" s="4">
        <v>52</v>
      </c>
      <c r="B50" s="5" t="s">
        <v>11</v>
      </c>
      <c r="C50" s="6" t="s">
        <v>12</v>
      </c>
      <c r="D50" s="5">
        <f>VLOOKUP(C50,'PESO GRUPO'!A$1:B$9,2,FALSE)</f>
        <v>30</v>
      </c>
      <c r="E50" s="6" t="s">
        <v>50</v>
      </c>
      <c r="F50" s="5">
        <f>VLOOKUP(E50,'PESOS SUBGRUPOS'!B$2:C$193,2,FALSE)</f>
        <v>60</v>
      </c>
      <c r="G50" s="6" t="s">
        <v>52</v>
      </c>
      <c r="H50" s="7" t="s">
        <v>15</v>
      </c>
      <c r="I50" s="5">
        <v>40</v>
      </c>
      <c r="M50" s="5" t="s">
        <v>500</v>
      </c>
    </row>
    <row r="51" spans="1:13" x14ac:dyDescent="0.25">
      <c r="A51" s="4">
        <v>53</v>
      </c>
      <c r="B51" s="5" t="s">
        <v>16</v>
      </c>
      <c r="C51" s="6" t="s">
        <v>12</v>
      </c>
      <c r="D51" s="5">
        <f>VLOOKUP(C51,'PESO GRUPO'!A$1:B$9,2,FALSE)</f>
        <v>30</v>
      </c>
      <c r="E51" s="6" t="s">
        <v>50</v>
      </c>
      <c r="F51" s="5">
        <f>VLOOKUP(E51,'PESOS SUBGRUPOS'!B$2:C$193,2,FALSE)</f>
        <v>60</v>
      </c>
      <c r="G51" s="6" t="s">
        <v>32</v>
      </c>
      <c r="H51" s="7" t="s">
        <v>15</v>
      </c>
      <c r="I51" s="5">
        <v>0</v>
      </c>
      <c r="M51" s="5" t="s">
        <v>500</v>
      </c>
    </row>
    <row r="52" spans="1:13" x14ac:dyDescent="0.25">
      <c r="A52" s="4">
        <v>54</v>
      </c>
      <c r="B52" s="5" t="s">
        <v>11</v>
      </c>
      <c r="C52" s="6" t="s">
        <v>12</v>
      </c>
      <c r="D52" s="5">
        <f>VLOOKUP(C52,'PESO GRUPO'!A$1:B$9,2,FALSE)</f>
        <v>30</v>
      </c>
      <c r="E52" s="6" t="s">
        <v>54</v>
      </c>
      <c r="F52" s="5">
        <f>VLOOKUP(E52,'PESOS SUBGRUPOS'!B$2:C$193,2,FALSE)</f>
        <v>60</v>
      </c>
      <c r="G52" s="6" t="s">
        <v>55</v>
      </c>
      <c r="H52" s="7" t="s">
        <v>15</v>
      </c>
      <c r="I52" s="5">
        <v>60</v>
      </c>
      <c r="M52" s="5" t="s">
        <v>500</v>
      </c>
    </row>
    <row r="53" spans="1:13" x14ac:dyDescent="0.25">
      <c r="A53" s="4">
        <v>55</v>
      </c>
      <c r="B53" s="5" t="s">
        <v>11</v>
      </c>
      <c r="C53" s="6" t="s">
        <v>12</v>
      </c>
      <c r="D53" s="5">
        <f>VLOOKUP(C53,'PESO GRUPO'!A$1:B$9,2,FALSE)</f>
        <v>30</v>
      </c>
      <c r="E53" s="6" t="s">
        <v>54</v>
      </c>
      <c r="F53" s="5">
        <f>VLOOKUP(E53,'PESOS SUBGRUPOS'!B$2:C$193,2,FALSE)</f>
        <v>60</v>
      </c>
      <c r="G53" s="6" t="s">
        <v>56</v>
      </c>
      <c r="H53" s="7" t="s">
        <v>15</v>
      </c>
      <c r="I53" s="5">
        <v>40</v>
      </c>
      <c r="M53" s="5" t="s">
        <v>500</v>
      </c>
    </row>
    <row r="54" spans="1:13" x14ac:dyDescent="0.25">
      <c r="A54" s="4">
        <v>56</v>
      </c>
      <c r="B54" s="5" t="s">
        <v>11</v>
      </c>
      <c r="C54" s="6" t="s">
        <v>12</v>
      </c>
      <c r="D54" s="5">
        <f>VLOOKUP(C54,'PESO GRUPO'!A$1:B$9,2,FALSE)</f>
        <v>30</v>
      </c>
      <c r="E54" s="6" t="s">
        <v>54</v>
      </c>
      <c r="F54" s="5">
        <f>VLOOKUP(E54,'PESOS SUBGRUPOS'!B$2:C$193,2,FALSE)</f>
        <v>60</v>
      </c>
      <c r="G54" s="6" t="s">
        <v>57</v>
      </c>
      <c r="H54" s="7" t="s">
        <v>15</v>
      </c>
      <c r="I54" s="5">
        <v>40</v>
      </c>
      <c r="M54" s="5" t="s">
        <v>500</v>
      </c>
    </row>
    <row r="55" spans="1:13" x14ac:dyDescent="0.25">
      <c r="A55" s="4">
        <v>57</v>
      </c>
      <c r="B55" s="5" t="s">
        <v>16</v>
      </c>
      <c r="C55" s="6" t="s">
        <v>12</v>
      </c>
      <c r="D55" s="5">
        <f>VLOOKUP(C55,'PESO GRUPO'!A$1:B$9,2,FALSE)</f>
        <v>30</v>
      </c>
      <c r="E55" s="6" t="s">
        <v>54</v>
      </c>
      <c r="F55" s="5">
        <f>VLOOKUP(E55,'PESOS SUBGRUPOS'!B$2:C$193,2,FALSE)</f>
        <v>60</v>
      </c>
      <c r="G55" s="6" t="s">
        <v>32</v>
      </c>
      <c r="H55" s="7" t="s">
        <v>15</v>
      </c>
      <c r="I55" s="5">
        <v>0</v>
      </c>
      <c r="M55" s="5" t="s">
        <v>500</v>
      </c>
    </row>
    <row r="56" spans="1:13" x14ac:dyDescent="0.25">
      <c r="A56" s="4">
        <v>58</v>
      </c>
      <c r="B56" s="5" t="s">
        <v>16</v>
      </c>
      <c r="C56" s="6" t="s">
        <v>12</v>
      </c>
      <c r="D56" s="5">
        <f>VLOOKUP(C56,'PESO GRUPO'!A$1:B$9,2,FALSE)</f>
        <v>30</v>
      </c>
      <c r="E56" s="6" t="s">
        <v>58</v>
      </c>
      <c r="F56" s="5">
        <f>VLOOKUP(E56,'PESOS SUBGRUPOS'!B$2:C$193,2,FALSE)</f>
        <v>80</v>
      </c>
      <c r="G56" s="6" t="s">
        <v>427</v>
      </c>
      <c r="H56" s="7" t="s">
        <v>15</v>
      </c>
      <c r="I56" s="5">
        <v>40</v>
      </c>
      <c r="M56" s="5" t="s">
        <v>500</v>
      </c>
    </row>
    <row r="57" spans="1:13" x14ac:dyDescent="0.25">
      <c r="A57" s="4">
        <v>59</v>
      </c>
      <c r="B57" s="5" t="s">
        <v>16</v>
      </c>
      <c r="C57" s="6" t="s">
        <v>12</v>
      </c>
      <c r="D57" s="5">
        <f>VLOOKUP(C57,'PESO GRUPO'!A$1:B$9,2,FALSE)</f>
        <v>30</v>
      </c>
      <c r="E57" s="6" t="s">
        <v>58</v>
      </c>
      <c r="F57" s="5">
        <f>VLOOKUP(E57,'PESOS SUBGRUPOS'!B$2:C$193,2,FALSE)</f>
        <v>80</v>
      </c>
      <c r="G57" s="6" t="s">
        <v>428</v>
      </c>
      <c r="H57" s="7" t="s">
        <v>15</v>
      </c>
      <c r="I57" s="5">
        <v>40</v>
      </c>
      <c r="M57" s="5" t="s">
        <v>500</v>
      </c>
    </row>
    <row r="58" spans="1:13" x14ac:dyDescent="0.25">
      <c r="A58" s="4">
        <v>60</v>
      </c>
      <c r="B58" s="5" t="s">
        <v>16</v>
      </c>
      <c r="C58" s="6" t="s">
        <v>12</v>
      </c>
      <c r="D58" s="5">
        <f>VLOOKUP(C58,'PESO GRUPO'!A$1:B$9,2,FALSE)</f>
        <v>30</v>
      </c>
      <c r="E58" s="6" t="s">
        <v>58</v>
      </c>
      <c r="F58" s="5">
        <f>VLOOKUP(E58,'PESOS SUBGRUPOS'!B$2:C$193,2,FALSE)</f>
        <v>80</v>
      </c>
      <c r="G58" s="6" t="s">
        <v>32</v>
      </c>
      <c r="H58" s="7" t="s">
        <v>15</v>
      </c>
      <c r="I58" s="5">
        <v>0</v>
      </c>
      <c r="M58" s="5" t="s">
        <v>500</v>
      </c>
    </row>
    <row r="59" spans="1:13" x14ac:dyDescent="0.25">
      <c r="A59" s="4">
        <v>61</v>
      </c>
      <c r="B59" s="5" t="s">
        <v>11</v>
      </c>
      <c r="C59" s="6" t="s">
        <v>12</v>
      </c>
      <c r="D59" s="5">
        <f>VLOOKUP(C59,'PESO GRUPO'!A$1:B$9,2,FALSE)</f>
        <v>30</v>
      </c>
      <c r="E59" s="6" t="s">
        <v>58</v>
      </c>
      <c r="F59" s="5">
        <f>VLOOKUP(E59,'PESOS SUBGRUPOS'!B$2:C$193,2,FALSE)</f>
        <v>80</v>
      </c>
      <c r="G59" s="6" t="s">
        <v>429</v>
      </c>
      <c r="H59" s="7" t="s">
        <v>15</v>
      </c>
      <c r="I59" s="5">
        <v>40</v>
      </c>
      <c r="M59" s="5" t="s">
        <v>500</v>
      </c>
    </row>
    <row r="60" spans="1:13" x14ac:dyDescent="0.25">
      <c r="A60" s="4">
        <v>62</v>
      </c>
      <c r="B60" s="5" t="s">
        <v>11</v>
      </c>
      <c r="C60" s="6" t="s">
        <v>12</v>
      </c>
      <c r="D60" s="5">
        <f>VLOOKUP(C60,'PESO GRUPO'!A$1:B$9,2,FALSE)</f>
        <v>30</v>
      </c>
      <c r="E60" s="6" t="s">
        <v>59</v>
      </c>
      <c r="F60" s="5">
        <f>VLOOKUP(E60,'PESOS SUBGRUPOS'!B$2:C$193,2,FALSE)</f>
        <v>100</v>
      </c>
      <c r="G60" s="6" t="s">
        <v>430</v>
      </c>
      <c r="H60" s="7" t="s">
        <v>15</v>
      </c>
      <c r="I60" s="5">
        <v>60</v>
      </c>
      <c r="M60" s="5" t="s">
        <v>500</v>
      </c>
    </row>
    <row r="61" spans="1:13" x14ac:dyDescent="0.25">
      <c r="A61" s="4">
        <v>63</v>
      </c>
      <c r="B61" s="5" t="s">
        <v>11</v>
      </c>
      <c r="C61" s="6" t="s">
        <v>12</v>
      </c>
      <c r="D61" s="5">
        <f>VLOOKUP(C61,'PESO GRUPO'!A$1:B$9,2,FALSE)</f>
        <v>30</v>
      </c>
      <c r="E61" s="6" t="s">
        <v>59</v>
      </c>
      <c r="F61" s="5">
        <f>VLOOKUP(E61,'PESOS SUBGRUPOS'!B$2:C$193,2,FALSE)</f>
        <v>100</v>
      </c>
      <c r="G61" s="6" t="s">
        <v>431</v>
      </c>
      <c r="H61" s="7" t="s">
        <v>15</v>
      </c>
      <c r="I61" s="5">
        <v>40</v>
      </c>
      <c r="M61" s="5" t="s">
        <v>500</v>
      </c>
    </row>
    <row r="62" spans="1:13" x14ac:dyDescent="0.25">
      <c r="A62" s="4">
        <v>64</v>
      </c>
      <c r="B62" s="5" t="s">
        <v>16</v>
      </c>
      <c r="C62" s="6" t="s">
        <v>12</v>
      </c>
      <c r="D62" s="5">
        <f>VLOOKUP(C62,'PESO GRUPO'!A$1:B$9,2,FALSE)</f>
        <v>30</v>
      </c>
      <c r="E62" s="6" t="s">
        <v>59</v>
      </c>
      <c r="F62" s="5">
        <f>VLOOKUP(E62,'PESOS SUBGRUPOS'!B$2:C$193,2,FALSE)</f>
        <v>100</v>
      </c>
      <c r="G62" s="6" t="s">
        <v>32</v>
      </c>
      <c r="H62" s="7" t="s">
        <v>15</v>
      </c>
      <c r="I62" s="5">
        <v>0</v>
      </c>
      <c r="M62" s="5" t="s">
        <v>500</v>
      </c>
    </row>
    <row r="63" spans="1:13" x14ac:dyDescent="0.25">
      <c r="A63" s="4">
        <v>65</v>
      </c>
      <c r="B63" s="5" t="s">
        <v>11</v>
      </c>
      <c r="C63" s="6" t="s">
        <v>12</v>
      </c>
      <c r="D63" s="5">
        <f>VLOOKUP(C63,'PESO GRUPO'!A$1:B$9,2,FALSE)</f>
        <v>30</v>
      </c>
      <c r="E63" s="6" t="s">
        <v>60</v>
      </c>
      <c r="F63" s="5">
        <f>VLOOKUP(E63,'PESOS SUBGRUPOS'!B$2:C$193,2,FALSE)</f>
        <v>80</v>
      </c>
      <c r="G63" s="6" t="s">
        <v>61</v>
      </c>
      <c r="H63" s="7" t="s">
        <v>15</v>
      </c>
      <c r="I63" s="5">
        <v>60</v>
      </c>
      <c r="M63" s="5" t="s">
        <v>500</v>
      </c>
    </row>
    <row r="64" spans="1:13" x14ac:dyDescent="0.25">
      <c r="A64" s="4">
        <v>66</v>
      </c>
      <c r="B64" s="5" t="s">
        <v>11</v>
      </c>
      <c r="C64" s="6" t="s">
        <v>12</v>
      </c>
      <c r="D64" s="5">
        <f>VLOOKUP(C64,'PESO GRUPO'!A$1:B$9,2,FALSE)</f>
        <v>30</v>
      </c>
      <c r="E64" s="6" t="s">
        <v>60</v>
      </c>
      <c r="F64" s="5">
        <f>VLOOKUP(E64,'PESOS SUBGRUPOS'!B$2:C$193,2,FALSE)</f>
        <v>80</v>
      </c>
      <c r="G64" s="6" t="s">
        <v>432</v>
      </c>
      <c r="H64" s="7" t="s">
        <v>15</v>
      </c>
      <c r="I64" s="5">
        <v>40</v>
      </c>
      <c r="M64" s="5" t="s">
        <v>500</v>
      </c>
    </row>
    <row r="65" spans="1:13" x14ac:dyDescent="0.25">
      <c r="A65" s="4">
        <v>67</v>
      </c>
      <c r="B65" s="5" t="s">
        <v>16</v>
      </c>
      <c r="C65" s="6" t="s">
        <v>12</v>
      </c>
      <c r="D65" s="5">
        <f>VLOOKUP(C65,'PESO GRUPO'!A$1:B$9,2,FALSE)</f>
        <v>30</v>
      </c>
      <c r="E65" s="6" t="s">
        <v>60</v>
      </c>
      <c r="F65" s="5">
        <f>VLOOKUP(E65,'PESOS SUBGRUPOS'!B$2:C$193,2,FALSE)</f>
        <v>80</v>
      </c>
      <c r="G65" s="6" t="s">
        <v>32</v>
      </c>
      <c r="H65" s="7" t="s">
        <v>15</v>
      </c>
      <c r="I65" s="5">
        <v>0</v>
      </c>
      <c r="M65" s="5" t="s">
        <v>500</v>
      </c>
    </row>
    <row r="66" spans="1:13" x14ac:dyDescent="0.25">
      <c r="A66" s="4">
        <v>68</v>
      </c>
      <c r="B66" s="5" t="s">
        <v>11</v>
      </c>
      <c r="C66" s="6" t="s">
        <v>12</v>
      </c>
      <c r="D66" s="5">
        <f>VLOOKUP(C66,'PESO GRUPO'!A$1:B$9,2,FALSE)</f>
        <v>30</v>
      </c>
      <c r="E66" s="6" t="s">
        <v>152</v>
      </c>
      <c r="F66" s="5">
        <f>VLOOKUP(E66,'PESOS SUBGRUPOS'!B$2:C$193,2,FALSE)</f>
        <v>80</v>
      </c>
      <c r="G66" s="6" t="s">
        <v>62</v>
      </c>
      <c r="H66" s="7" t="s">
        <v>15</v>
      </c>
      <c r="I66" s="5">
        <v>60</v>
      </c>
      <c r="M66" s="5" t="s">
        <v>500</v>
      </c>
    </row>
    <row r="67" spans="1:13" x14ac:dyDescent="0.25">
      <c r="A67" s="4">
        <v>69</v>
      </c>
      <c r="B67" s="5" t="s">
        <v>16</v>
      </c>
      <c r="C67" s="6" t="s">
        <v>12</v>
      </c>
      <c r="D67" s="5">
        <f>VLOOKUP(C67,'PESO GRUPO'!A$1:B$9,2,FALSE)</f>
        <v>30</v>
      </c>
      <c r="E67" s="6" t="s">
        <v>152</v>
      </c>
      <c r="F67" s="5">
        <f>VLOOKUP(E67,'PESOS SUBGRUPOS'!B$2:C$193,2,FALSE)</f>
        <v>80</v>
      </c>
      <c r="G67" s="6" t="s">
        <v>32</v>
      </c>
      <c r="H67" s="7" t="s">
        <v>15</v>
      </c>
      <c r="I67" s="5">
        <v>0</v>
      </c>
      <c r="M67" s="5" t="s">
        <v>500</v>
      </c>
    </row>
    <row r="68" spans="1:13" x14ac:dyDescent="0.25">
      <c r="A68" s="4">
        <v>70</v>
      </c>
      <c r="B68" s="5" t="s">
        <v>11</v>
      </c>
      <c r="C68" s="6" t="s">
        <v>12</v>
      </c>
      <c r="D68" s="5">
        <f>VLOOKUP(C68,'PESO GRUPO'!A$1:B$9,2,FALSE)</f>
        <v>30</v>
      </c>
      <c r="E68" s="6" t="s">
        <v>152</v>
      </c>
      <c r="F68" s="5">
        <f>VLOOKUP(E68,'PESOS SUBGRUPOS'!B$2:C$193,2,FALSE)</f>
        <v>80</v>
      </c>
      <c r="G68" s="6" t="s">
        <v>153</v>
      </c>
      <c r="H68" s="7" t="s">
        <v>15</v>
      </c>
      <c r="I68" s="5">
        <v>40</v>
      </c>
      <c r="M68" s="5" t="s">
        <v>500</v>
      </c>
    </row>
    <row r="69" spans="1:13" x14ac:dyDescent="0.25">
      <c r="A69" s="4">
        <v>71</v>
      </c>
      <c r="B69" s="5" t="s">
        <v>11</v>
      </c>
      <c r="C69" s="6" t="s">
        <v>12</v>
      </c>
      <c r="D69" s="5">
        <f>VLOOKUP(C69,'PESO GRUPO'!A$1:B$9,2,FALSE)</f>
        <v>30</v>
      </c>
      <c r="E69" s="6" t="s">
        <v>152</v>
      </c>
      <c r="F69" s="5">
        <f>VLOOKUP(E69,'PESOS SUBGRUPOS'!B$2:C$193,2,FALSE)</f>
        <v>80</v>
      </c>
      <c r="G69" s="6" t="s">
        <v>154</v>
      </c>
      <c r="H69" s="7" t="s">
        <v>15</v>
      </c>
      <c r="I69" s="5">
        <v>60</v>
      </c>
      <c r="M69" s="5" t="s">
        <v>500</v>
      </c>
    </row>
    <row r="70" spans="1:13" x14ac:dyDescent="0.25">
      <c r="A70" s="4">
        <v>72</v>
      </c>
      <c r="B70" s="5" t="s">
        <v>11</v>
      </c>
      <c r="C70" s="6" t="s">
        <v>12</v>
      </c>
      <c r="D70" s="5">
        <f>VLOOKUP(C70,'PESO GRUPO'!A$1:B$9,2,FALSE)</f>
        <v>30</v>
      </c>
      <c r="E70" s="6" t="s">
        <v>152</v>
      </c>
      <c r="F70" s="5">
        <f>VLOOKUP(E70,'PESOS SUBGRUPOS'!B$2:C$193,2,FALSE)</f>
        <v>80</v>
      </c>
      <c r="G70" s="6" t="s">
        <v>155</v>
      </c>
      <c r="H70" s="7" t="s">
        <v>15</v>
      </c>
      <c r="I70" s="5">
        <v>60</v>
      </c>
      <c r="M70" s="5" t="s">
        <v>500</v>
      </c>
    </row>
    <row r="71" spans="1:13" x14ac:dyDescent="0.25">
      <c r="A71" s="4">
        <v>73</v>
      </c>
      <c r="B71" s="5" t="s">
        <v>11</v>
      </c>
      <c r="C71" s="6" t="s">
        <v>12</v>
      </c>
      <c r="D71" s="5">
        <f>VLOOKUP(C71,'PESO GRUPO'!A$1:B$9,2,FALSE)</f>
        <v>30</v>
      </c>
      <c r="E71" s="6" t="s">
        <v>152</v>
      </c>
      <c r="F71" s="5">
        <f>VLOOKUP(E71,'PESOS SUBGRUPOS'!B$2:C$193,2,FALSE)</f>
        <v>80</v>
      </c>
      <c r="G71" s="6" t="s">
        <v>156</v>
      </c>
      <c r="H71" s="7" t="s">
        <v>15</v>
      </c>
      <c r="I71" s="5">
        <v>40</v>
      </c>
      <c r="M71" s="5" t="s">
        <v>500</v>
      </c>
    </row>
    <row r="72" spans="1:13" x14ac:dyDescent="0.25">
      <c r="A72" s="4">
        <v>74</v>
      </c>
      <c r="B72" s="5" t="s">
        <v>16</v>
      </c>
      <c r="C72" s="6" t="s">
        <v>12</v>
      </c>
      <c r="D72" s="5">
        <f>VLOOKUP(C72,'PESO GRUPO'!A$1:B$9,2,FALSE)</f>
        <v>30</v>
      </c>
      <c r="E72" s="6" t="s">
        <v>152</v>
      </c>
      <c r="F72" s="5">
        <f>VLOOKUP(E72,'PESOS SUBGRUPOS'!B$2:C$193,2,FALSE)</f>
        <v>80</v>
      </c>
      <c r="G72" s="6" t="s">
        <v>157</v>
      </c>
      <c r="H72" s="7" t="s">
        <v>15</v>
      </c>
      <c r="I72" s="5">
        <v>0</v>
      </c>
      <c r="M72" s="5" t="s">
        <v>500</v>
      </c>
    </row>
    <row r="73" spans="1:13" x14ac:dyDescent="0.25">
      <c r="A73" s="4">
        <v>75</v>
      </c>
      <c r="B73" s="5" t="s">
        <v>11</v>
      </c>
      <c r="C73" s="6" t="s">
        <v>12</v>
      </c>
      <c r="D73" s="5">
        <f>VLOOKUP(C73,'PESO GRUPO'!A$1:B$9,2,FALSE)</f>
        <v>30</v>
      </c>
      <c r="E73" s="6" t="s">
        <v>152</v>
      </c>
      <c r="F73" s="5">
        <f>VLOOKUP(E73,'PESOS SUBGRUPOS'!B$2:C$193,2,FALSE)</f>
        <v>80</v>
      </c>
      <c r="G73" s="6" t="s">
        <v>158</v>
      </c>
      <c r="H73" s="7" t="s">
        <v>15</v>
      </c>
      <c r="I73" s="5">
        <v>40</v>
      </c>
      <c r="M73" s="5" t="s">
        <v>500</v>
      </c>
    </row>
    <row r="74" spans="1:13" x14ac:dyDescent="0.25">
      <c r="A74" s="4">
        <v>76</v>
      </c>
      <c r="B74" s="5" t="s">
        <v>11</v>
      </c>
      <c r="C74" s="6" t="s">
        <v>12</v>
      </c>
      <c r="D74" s="5">
        <f>VLOOKUP(C74,'PESO GRUPO'!A$1:B$9,2,FALSE)</f>
        <v>30</v>
      </c>
      <c r="E74" s="6" t="s">
        <v>63</v>
      </c>
      <c r="F74" s="5">
        <f>VLOOKUP(E74,'PESOS SUBGRUPOS'!B$2:C$193,2,FALSE)</f>
        <v>20</v>
      </c>
      <c r="G74" s="6" t="s">
        <v>64</v>
      </c>
      <c r="H74" s="7" t="s">
        <v>15</v>
      </c>
      <c r="I74" s="5">
        <v>20</v>
      </c>
      <c r="M74" s="5" t="s">
        <v>500</v>
      </c>
    </row>
    <row r="75" spans="1:13" x14ac:dyDescent="0.25">
      <c r="A75" s="4">
        <v>77</v>
      </c>
      <c r="B75" s="5" t="s">
        <v>11</v>
      </c>
      <c r="C75" s="6" t="s">
        <v>12</v>
      </c>
      <c r="D75" s="5">
        <f>VLOOKUP(C75,'PESO GRUPO'!A$1:B$9,2,FALSE)</f>
        <v>30</v>
      </c>
      <c r="E75" s="6" t="s">
        <v>65</v>
      </c>
      <c r="F75" s="5">
        <f>VLOOKUP(E75,'PESOS SUBGRUPOS'!B$2:C$193,2,FALSE)</f>
        <v>80</v>
      </c>
      <c r="G75" s="6" t="s">
        <v>31</v>
      </c>
      <c r="H75" s="7" t="s">
        <v>15</v>
      </c>
      <c r="I75" s="5">
        <v>60</v>
      </c>
      <c r="M75" s="5" t="s">
        <v>500</v>
      </c>
    </row>
    <row r="76" spans="1:13" x14ac:dyDescent="0.25">
      <c r="A76" s="4">
        <v>78</v>
      </c>
      <c r="B76" s="5" t="s">
        <v>11</v>
      </c>
      <c r="C76" s="6" t="s">
        <v>12</v>
      </c>
      <c r="D76" s="5">
        <f>VLOOKUP(C76,'PESO GRUPO'!A$1:B$9,2,FALSE)</f>
        <v>30</v>
      </c>
      <c r="E76" s="6" t="s">
        <v>65</v>
      </c>
      <c r="F76" s="5">
        <f>VLOOKUP(E76,'PESOS SUBGRUPOS'!B$2:C$193,2,FALSE)</f>
        <v>80</v>
      </c>
      <c r="G76" s="6" t="s">
        <v>66</v>
      </c>
      <c r="H76" s="7" t="s">
        <v>15</v>
      </c>
      <c r="I76" s="5">
        <v>60</v>
      </c>
      <c r="M76" s="5" t="s">
        <v>500</v>
      </c>
    </row>
    <row r="77" spans="1:13" x14ac:dyDescent="0.25">
      <c r="A77" s="4">
        <v>79</v>
      </c>
      <c r="B77" s="5" t="s">
        <v>16</v>
      </c>
      <c r="C77" s="6" t="s">
        <v>12</v>
      </c>
      <c r="D77" s="5">
        <f>VLOOKUP(C77,'PESO GRUPO'!A$1:B$9,2,FALSE)</f>
        <v>30</v>
      </c>
      <c r="E77" s="6" t="s">
        <v>65</v>
      </c>
      <c r="F77" s="5">
        <f>VLOOKUP(E77,'PESOS SUBGRUPOS'!B$2:C$193,2,FALSE)</f>
        <v>80</v>
      </c>
      <c r="G77" s="6" t="s">
        <v>32</v>
      </c>
      <c r="H77" s="7" t="s">
        <v>15</v>
      </c>
      <c r="I77" s="5">
        <v>0</v>
      </c>
      <c r="M77" s="5" t="s">
        <v>500</v>
      </c>
    </row>
    <row r="78" spans="1:13" x14ac:dyDescent="0.25">
      <c r="A78" s="4">
        <v>80</v>
      </c>
      <c r="B78" s="5" t="s">
        <v>11</v>
      </c>
      <c r="C78" s="6" t="s">
        <v>12</v>
      </c>
      <c r="D78" s="5">
        <f>VLOOKUP(C78,'PESO GRUPO'!A$1:B$9,2,FALSE)</f>
        <v>30</v>
      </c>
      <c r="E78" s="6" t="s">
        <v>65</v>
      </c>
      <c r="F78" s="5">
        <f>VLOOKUP(E78,'PESOS SUBGRUPOS'!B$2:C$193,2,FALSE)</f>
        <v>80</v>
      </c>
      <c r="G78" s="6" t="s">
        <v>67</v>
      </c>
      <c r="H78" s="7" t="s">
        <v>15</v>
      </c>
      <c r="I78" s="5">
        <v>0</v>
      </c>
      <c r="M78" s="5" t="s">
        <v>500</v>
      </c>
    </row>
    <row r="79" spans="1:13" x14ac:dyDescent="0.25">
      <c r="A79" s="4">
        <v>81</v>
      </c>
      <c r="B79" s="5" t="s">
        <v>11</v>
      </c>
      <c r="C79" s="6" t="s">
        <v>12</v>
      </c>
      <c r="D79" s="5">
        <f>VLOOKUP(C79,'PESO GRUPO'!A$1:B$9,2,FALSE)</f>
        <v>30</v>
      </c>
      <c r="E79" s="6" t="s">
        <v>65</v>
      </c>
      <c r="F79" s="5">
        <f>VLOOKUP(E79,'PESOS SUBGRUPOS'!B$2:C$193,2,FALSE)</f>
        <v>80</v>
      </c>
      <c r="G79" s="6" t="s">
        <v>433</v>
      </c>
      <c r="H79" s="7" t="s">
        <v>15</v>
      </c>
      <c r="I79" s="5">
        <v>60</v>
      </c>
      <c r="M79" s="5" t="s">
        <v>500</v>
      </c>
    </row>
    <row r="80" spans="1:13" x14ac:dyDescent="0.25">
      <c r="A80" s="4">
        <v>82</v>
      </c>
      <c r="B80" s="5" t="s">
        <v>11</v>
      </c>
      <c r="C80" s="6" t="s">
        <v>12</v>
      </c>
      <c r="D80" s="5">
        <f>VLOOKUP(C80,'PESO GRUPO'!A$1:B$9,2,FALSE)</f>
        <v>30</v>
      </c>
      <c r="E80" s="6" t="s">
        <v>65</v>
      </c>
      <c r="F80" s="5">
        <f>VLOOKUP(E80,'PESOS SUBGRUPOS'!B$2:C$193,2,FALSE)</f>
        <v>80</v>
      </c>
      <c r="G80" s="6" t="s">
        <v>435</v>
      </c>
      <c r="H80" s="7" t="s">
        <v>15</v>
      </c>
      <c r="I80" s="5">
        <v>40</v>
      </c>
      <c r="M80" s="5" t="s">
        <v>500</v>
      </c>
    </row>
    <row r="81" spans="1:13" x14ac:dyDescent="0.25">
      <c r="A81" s="4">
        <v>83</v>
      </c>
      <c r="B81" s="5" t="s">
        <v>16</v>
      </c>
      <c r="C81" s="6" t="s">
        <v>12</v>
      </c>
      <c r="D81" s="5">
        <f>VLOOKUP(C81,'PESO GRUPO'!A$1:B$9,2,FALSE)</f>
        <v>30</v>
      </c>
      <c r="E81" s="6" t="s">
        <v>68</v>
      </c>
      <c r="F81" s="5">
        <f>VLOOKUP(E81,'PESOS SUBGRUPOS'!B$2:C$193,2,FALSE)</f>
        <v>80</v>
      </c>
      <c r="G81" s="6" t="s">
        <v>69</v>
      </c>
      <c r="H81" s="7" t="s">
        <v>15</v>
      </c>
      <c r="I81" s="5">
        <v>0</v>
      </c>
      <c r="M81" s="5" t="s">
        <v>500</v>
      </c>
    </row>
    <row r="82" spans="1:13" x14ac:dyDescent="0.25">
      <c r="A82" s="4">
        <v>84</v>
      </c>
      <c r="B82" s="5" t="s">
        <v>11</v>
      </c>
      <c r="C82" s="6" t="s">
        <v>12</v>
      </c>
      <c r="D82" s="5">
        <f>VLOOKUP(C82,'PESO GRUPO'!A$1:B$9,2,FALSE)</f>
        <v>30</v>
      </c>
      <c r="E82" s="6" t="s">
        <v>68</v>
      </c>
      <c r="F82" s="5">
        <f>VLOOKUP(E82,'PESOS SUBGRUPOS'!B$2:C$193,2,FALSE)</f>
        <v>80</v>
      </c>
      <c r="G82" s="6" t="s">
        <v>70</v>
      </c>
      <c r="H82" s="7" t="s">
        <v>15</v>
      </c>
      <c r="I82" s="5">
        <v>60</v>
      </c>
      <c r="M82" s="5" t="s">
        <v>500</v>
      </c>
    </row>
    <row r="83" spans="1:13" x14ac:dyDescent="0.25">
      <c r="A83" s="4">
        <v>85</v>
      </c>
      <c r="B83" s="5" t="s">
        <v>16</v>
      </c>
      <c r="C83" s="6" t="s">
        <v>12</v>
      </c>
      <c r="D83" s="5">
        <f>VLOOKUP(C83,'PESO GRUPO'!A$1:B$9,2,FALSE)</f>
        <v>30</v>
      </c>
      <c r="E83" s="6" t="s">
        <v>68</v>
      </c>
      <c r="F83" s="5">
        <f>VLOOKUP(E83,'PESOS SUBGRUPOS'!B$2:C$193,2,FALSE)</f>
        <v>80</v>
      </c>
      <c r="G83" s="6" t="s">
        <v>71</v>
      </c>
      <c r="H83" s="7" t="s">
        <v>15</v>
      </c>
      <c r="I83" s="5">
        <v>0</v>
      </c>
      <c r="M83" s="5" t="s">
        <v>500</v>
      </c>
    </row>
    <row r="84" spans="1:13" x14ac:dyDescent="0.25">
      <c r="A84" s="4">
        <v>86</v>
      </c>
      <c r="B84" s="5" t="s">
        <v>11</v>
      </c>
      <c r="C84" s="6" t="s">
        <v>12</v>
      </c>
      <c r="D84" s="5">
        <f>VLOOKUP(C84,'PESO GRUPO'!A$1:B$9,2,FALSE)</f>
        <v>30</v>
      </c>
      <c r="E84" s="6" t="s">
        <v>68</v>
      </c>
      <c r="F84" s="5">
        <f>VLOOKUP(E84,'PESOS SUBGRUPOS'!B$2:C$193,2,FALSE)</f>
        <v>80</v>
      </c>
      <c r="G84" s="6" t="s">
        <v>437</v>
      </c>
      <c r="H84" s="7" t="s">
        <v>15</v>
      </c>
      <c r="I84" s="5">
        <v>40</v>
      </c>
      <c r="M84" s="5" t="s">
        <v>500</v>
      </c>
    </row>
    <row r="85" spans="1:13" x14ac:dyDescent="0.25">
      <c r="A85" s="4">
        <v>87</v>
      </c>
      <c r="B85" s="5" t="s">
        <v>11</v>
      </c>
      <c r="C85" s="6" t="s">
        <v>12</v>
      </c>
      <c r="D85" s="5">
        <f>VLOOKUP(C85,'PESO GRUPO'!A$1:B$9,2,FALSE)</f>
        <v>30</v>
      </c>
      <c r="E85" s="6" t="s">
        <v>72</v>
      </c>
      <c r="F85" s="5">
        <f>VLOOKUP(E85,'PESOS SUBGRUPOS'!B$2:C$193,2,FALSE)</f>
        <v>40</v>
      </c>
      <c r="G85" s="6" t="s">
        <v>73</v>
      </c>
      <c r="H85" s="7" t="s">
        <v>15</v>
      </c>
      <c r="I85" s="5">
        <v>60</v>
      </c>
      <c r="M85" s="5" t="s">
        <v>500</v>
      </c>
    </row>
    <row r="86" spans="1:13" x14ac:dyDescent="0.25">
      <c r="A86" s="4">
        <v>88</v>
      </c>
      <c r="B86" s="5" t="s">
        <v>11</v>
      </c>
      <c r="C86" s="6" t="s">
        <v>12</v>
      </c>
      <c r="D86" s="5">
        <f>VLOOKUP(C86,'PESO GRUPO'!A$1:B$9,2,FALSE)</f>
        <v>30</v>
      </c>
      <c r="E86" s="6" t="s">
        <v>72</v>
      </c>
      <c r="F86" s="5">
        <f>VLOOKUP(E86,'PESOS SUBGRUPOS'!B$2:C$193,2,FALSE)</f>
        <v>40</v>
      </c>
      <c r="G86" s="6" t="s">
        <v>74</v>
      </c>
      <c r="H86" s="7" t="s">
        <v>15</v>
      </c>
      <c r="I86" s="5">
        <v>60</v>
      </c>
      <c r="M86" s="5" t="s">
        <v>500</v>
      </c>
    </row>
    <row r="87" spans="1:13" x14ac:dyDescent="0.25">
      <c r="A87" s="4">
        <v>89</v>
      </c>
      <c r="B87" s="5" t="s">
        <v>11</v>
      </c>
      <c r="C87" s="10" t="s">
        <v>12</v>
      </c>
      <c r="D87" s="5">
        <f>VLOOKUP(C87,'PESO GRUPO'!A$1:B$9,2,FALSE)</f>
        <v>30</v>
      </c>
      <c r="E87" s="10" t="s">
        <v>72</v>
      </c>
      <c r="F87" s="5">
        <f>VLOOKUP(E87,'PESOS SUBGRUPOS'!B$2:C$193,2,FALSE)</f>
        <v>40</v>
      </c>
      <c r="G87" s="6" t="s">
        <v>75</v>
      </c>
      <c r="H87" s="7" t="s">
        <v>15</v>
      </c>
      <c r="I87" s="5">
        <v>60</v>
      </c>
      <c r="M87" s="5" t="s">
        <v>500</v>
      </c>
    </row>
    <row r="88" spans="1:13" x14ac:dyDescent="0.25">
      <c r="A88" s="4">
        <v>90</v>
      </c>
      <c r="B88" s="5" t="s">
        <v>11</v>
      </c>
      <c r="C88" s="10" t="s">
        <v>12</v>
      </c>
      <c r="D88" s="5">
        <f>VLOOKUP(C88,'PESO GRUPO'!A$1:B$9,2,FALSE)</f>
        <v>30</v>
      </c>
      <c r="E88" s="10" t="s">
        <v>76</v>
      </c>
      <c r="F88" s="5">
        <f>VLOOKUP(E88,'PESOS SUBGRUPOS'!B$2:C$193,2,FALSE)</f>
        <v>40</v>
      </c>
      <c r="G88" s="6" t="s">
        <v>77</v>
      </c>
      <c r="H88" s="7" t="s">
        <v>15</v>
      </c>
      <c r="I88" s="5">
        <v>20</v>
      </c>
      <c r="M88" s="5" t="s">
        <v>500</v>
      </c>
    </row>
    <row r="89" spans="1:13" x14ac:dyDescent="0.25">
      <c r="A89" s="4">
        <v>91</v>
      </c>
      <c r="B89" s="5" t="s">
        <v>11</v>
      </c>
      <c r="C89" s="10" t="s">
        <v>12</v>
      </c>
      <c r="D89" s="5">
        <f>VLOOKUP(C89,'PESO GRUPO'!A$1:B$9,2,FALSE)</f>
        <v>30</v>
      </c>
      <c r="E89" s="10" t="s">
        <v>76</v>
      </c>
      <c r="F89" s="5">
        <f>VLOOKUP(E89,'PESOS SUBGRUPOS'!B$2:C$193,2,FALSE)</f>
        <v>40</v>
      </c>
      <c r="G89" s="6" t="s">
        <v>439</v>
      </c>
      <c r="H89" s="7" t="s">
        <v>15</v>
      </c>
      <c r="I89" s="5">
        <v>20</v>
      </c>
      <c r="M89" s="5" t="s">
        <v>500</v>
      </c>
    </row>
    <row r="90" spans="1:13" x14ac:dyDescent="0.25">
      <c r="A90" s="4">
        <v>92</v>
      </c>
      <c r="B90" s="5" t="s">
        <v>11</v>
      </c>
      <c r="C90" s="10" t="s">
        <v>12</v>
      </c>
      <c r="D90" s="5">
        <f>VLOOKUP(C90,'PESO GRUPO'!A$1:B$9,2,FALSE)</f>
        <v>30</v>
      </c>
      <c r="E90" s="10" t="s">
        <v>76</v>
      </c>
      <c r="F90" s="5">
        <f>VLOOKUP(E90,'PESOS SUBGRUPOS'!B$2:C$193,2,FALSE)</f>
        <v>40</v>
      </c>
      <c r="G90" s="6" t="s">
        <v>440</v>
      </c>
      <c r="H90" s="7" t="s">
        <v>15</v>
      </c>
      <c r="I90" s="5">
        <v>20</v>
      </c>
      <c r="M90" s="5" t="s">
        <v>500</v>
      </c>
    </row>
    <row r="91" spans="1:13" x14ac:dyDescent="0.25">
      <c r="A91" s="4">
        <v>93</v>
      </c>
      <c r="B91" s="5" t="s">
        <v>11</v>
      </c>
      <c r="C91" s="10" t="s">
        <v>12</v>
      </c>
      <c r="D91" s="5">
        <f>VLOOKUP(C91,'PESO GRUPO'!A$1:B$9,2,FALSE)</f>
        <v>30</v>
      </c>
      <c r="E91" s="10" t="s">
        <v>76</v>
      </c>
      <c r="F91" s="5">
        <f>VLOOKUP(E91,'PESOS SUBGRUPOS'!B$2:C$193,2,FALSE)</f>
        <v>40</v>
      </c>
      <c r="G91" s="6" t="s">
        <v>438</v>
      </c>
      <c r="H91" s="7" t="s">
        <v>15</v>
      </c>
      <c r="I91" s="5">
        <v>20</v>
      </c>
      <c r="M91" s="5" t="s">
        <v>500</v>
      </c>
    </row>
    <row r="92" spans="1:13" x14ac:dyDescent="0.25">
      <c r="A92" s="4">
        <v>94</v>
      </c>
      <c r="B92" s="5" t="s">
        <v>11</v>
      </c>
      <c r="C92" s="10" t="s">
        <v>12</v>
      </c>
      <c r="D92" s="5">
        <f>VLOOKUP(C92,'PESO GRUPO'!A$1:B$9,2,FALSE)</f>
        <v>30</v>
      </c>
      <c r="E92" s="10" t="s">
        <v>76</v>
      </c>
      <c r="F92" s="5">
        <f>VLOOKUP(E92,'PESOS SUBGRUPOS'!B$2:C$193,2,FALSE)</f>
        <v>40</v>
      </c>
      <c r="G92" s="6" t="s">
        <v>78</v>
      </c>
      <c r="H92" s="7" t="s">
        <v>15</v>
      </c>
      <c r="I92" s="5">
        <v>20</v>
      </c>
      <c r="M92" s="5" t="s">
        <v>500</v>
      </c>
    </row>
    <row r="93" spans="1:13" x14ac:dyDescent="0.25">
      <c r="A93" s="4">
        <v>95</v>
      </c>
      <c r="B93" s="5" t="s">
        <v>11</v>
      </c>
      <c r="C93" s="10" t="s">
        <v>12</v>
      </c>
      <c r="D93" s="5">
        <f>VLOOKUP(C93,'PESO GRUPO'!A$1:B$9,2,FALSE)</f>
        <v>30</v>
      </c>
      <c r="E93" s="10" t="s">
        <v>76</v>
      </c>
      <c r="F93" s="5">
        <f>VLOOKUP(E93,'PESOS SUBGRUPOS'!B$2:C$193,2,FALSE)</f>
        <v>40</v>
      </c>
      <c r="G93" s="6" t="s">
        <v>441</v>
      </c>
      <c r="H93" s="7" t="s">
        <v>15</v>
      </c>
      <c r="I93" s="5">
        <v>20</v>
      </c>
      <c r="M93" s="5" t="s">
        <v>500</v>
      </c>
    </row>
    <row r="94" spans="1:13" x14ac:dyDescent="0.25">
      <c r="A94" s="4">
        <v>96</v>
      </c>
      <c r="B94" s="5" t="s">
        <v>11</v>
      </c>
      <c r="C94" s="10" t="s">
        <v>12</v>
      </c>
      <c r="D94" s="5">
        <f>VLOOKUP(C94,'PESO GRUPO'!A$1:B$9,2,FALSE)</f>
        <v>30</v>
      </c>
      <c r="E94" s="10" t="s">
        <v>76</v>
      </c>
      <c r="F94" s="5">
        <f>VLOOKUP(E94,'PESOS SUBGRUPOS'!B$2:C$193,2,FALSE)</f>
        <v>40</v>
      </c>
      <c r="G94" s="6" t="s">
        <v>442</v>
      </c>
      <c r="H94" s="7" t="s">
        <v>15</v>
      </c>
      <c r="I94" s="5">
        <v>20</v>
      </c>
      <c r="M94" s="5" t="s">
        <v>500</v>
      </c>
    </row>
    <row r="95" spans="1:13" x14ac:dyDescent="0.25">
      <c r="A95" s="4">
        <v>97</v>
      </c>
      <c r="B95" s="5" t="s">
        <v>11</v>
      </c>
      <c r="C95" s="10" t="s">
        <v>12</v>
      </c>
      <c r="D95" s="5">
        <f>VLOOKUP(C95,'PESO GRUPO'!A$1:B$9,2,FALSE)</f>
        <v>30</v>
      </c>
      <c r="E95" s="10" t="s">
        <v>436</v>
      </c>
      <c r="F95" s="5">
        <f>VLOOKUP(E95,'PESOS SUBGRUPOS'!B$2:C$193,2,FALSE)</f>
        <v>40</v>
      </c>
      <c r="G95" s="6" t="s">
        <v>443</v>
      </c>
      <c r="H95" s="7" t="s">
        <v>15</v>
      </c>
      <c r="I95" s="5">
        <v>60</v>
      </c>
      <c r="M95" s="5" t="s">
        <v>500</v>
      </c>
    </row>
    <row r="96" spans="1:13" x14ac:dyDescent="0.25">
      <c r="A96" s="4">
        <v>98</v>
      </c>
      <c r="B96" s="5" t="s">
        <v>11</v>
      </c>
      <c r="C96" s="10" t="s">
        <v>12</v>
      </c>
      <c r="D96" s="5">
        <f>VLOOKUP(C96,'PESO GRUPO'!A$1:B$9,2,FALSE)</f>
        <v>30</v>
      </c>
      <c r="E96" s="10" t="s">
        <v>445</v>
      </c>
      <c r="F96" s="5">
        <f>VLOOKUP(E96,'PESOS SUBGRUPOS'!B$2:C$193,2,FALSE)</f>
        <v>20</v>
      </c>
      <c r="G96" s="6" t="s">
        <v>446</v>
      </c>
      <c r="H96" s="7" t="s">
        <v>15</v>
      </c>
      <c r="I96" s="5">
        <v>40</v>
      </c>
      <c r="M96" s="5" t="s">
        <v>500</v>
      </c>
    </row>
    <row r="97" spans="1:13" x14ac:dyDescent="0.25">
      <c r="A97" s="4">
        <v>99</v>
      </c>
      <c r="B97" s="5" t="s">
        <v>11</v>
      </c>
      <c r="C97" s="10" t="s">
        <v>12</v>
      </c>
      <c r="D97" s="5">
        <f>VLOOKUP(C97,'PESO GRUPO'!A$1:B$9,2,FALSE)</f>
        <v>30</v>
      </c>
      <c r="E97" s="10" t="s">
        <v>447</v>
      </c>
      <c r="F97" s="5">
        <f>VLOOKUP(E97,'PESOS SUBGRUPOS'!B$2:C$193,2,FALSE)</f>
        <v>40</v>
      </c>
      <c r="G97" s="6" t="s">
        <v>448</v>
      </c>
      <c r="H97" s="7" t="s">
        <v>15</v>
      </c>
      <c r="I97" s="5">
        <v>60</v>
      </c>
      <c r="M97" s="5" t="s">
        <v>500</v>
      </c>
    </row>
    <row r="98" spans="1:13" x14ac:dyDescent="0.25">
      <c r="A98" s="4">
        <v>100</v>
      </c>
      <c r="B98" s="5" t="s">
        <v>11</v>
      </c>
      <c r="C98" s="6" t="s">
        <v>12</v>
      </c>
      <c r="D98" s="5">
        <f>VLOOKUP(C98,'PESO GRUPO'!A$1:B$9,2,FALSE)</f>
        <v>30</v>
      </c>
      <c r="E98" s="6" t="s">
        <v>495</v>
      </c>
      <c r="F98" s="5" t="e">
        <f>VLOOKUP(E98,'PESOS SUBGRUPOS'!B$2:C$193,2,FALSE)</f>
        <v>#N/A</v>
      </c>
      <c r="G98" s="6" t="s">
        <v>213</v>
      </c>
      <c r="H98" s="7" t="s">
        <v>15</v>
      </c>
      <c r="I98" s="5">
        <v>40</v>
      </c>
      <c r="M98" s="5" t="s">
        <v>500</v>
      </c>
    </row>
    <row r="99" spans="1:13" x14ac:dyDescent="0.25">
      <c r="A99" s="4">
        <v>101</v>
      </c>
      <c r="B99" s="5" t="s">
        <v>11</v>
      </c>
      <c r="C99" s="6" t="s">
        <v>12</v>
      </c>
      <c r="D99" s="5">
        <f>VLOOKUP(C99,'PESO GRUPO'!A$1:B$9,2,FALSE)</f>
        <v>30</v>
      </c>
      <c r="E99" s="6" t="s">
        <v>496</v>
      </c>
      <c r="F99" s="5" t="e">
        <f>VLOOKUP(E99,'PESOS SUBGRUPOS'!B$2:C$193,2,FALSE)</f>
        <v>#N/A</v>
      </c>
      <c r="G99" s="6" t="s">
        <v>497</v>
      </c>
      <c r="H99" s="7" t="s">
        <v>15</v>
      </c>
      <c r="I99" s="5">
        <v>80</v>
      </c>
      <c r="M99" s="5" t="s">
        <v>500</v>
      </c>
    </row>
    <row r="100" spans="1:13" x14ac:dyDescent="0.25">
      <c r="A100" s="4">
        <v>102</v>
      </c>
      <c r="B100" s="5" t="s">
        <v>11</v>
      </c>
      <c r="C100" s="6" t="s">
        <v>41</v>
      </c>
      <c r="D100" s="5">
        <f>VLOOKUP(C100,'PESO GRUPO'!A$1:B$9,2,FALSE)</f>
        <v>20</v>
      </c>
      <c r="E100" s="6" t="s">
        <v>79</v>
      </c>
      <c r="F100" s="5">
        <f>VLOOKUP(E100,'PESOS SUBGRUPOS'!B$2:C$193,2,FALSE)</f>
        <v>100</v>
      </c>
      <c r="G100" s="6" t="s">
        <v>449</v>
      </c>
      <c r="H100" s="7" t="s">
        <v>15</v>
      </c>
      <c r="I100" s="5">
        <v>20</v>
      </c>
      <c r="M100" s="5" t="s">
        <v>500</v>
      </c>
    </row>
    <row r="101" spans="1:13" x14ac:dyDescent="0.25">
      <c r="A101" s="4">
        <v>103</v>
      </c>
      <c r="B101" s="5" t="s">
        <v>11</v>
      </c>
      <c r="C101" s="6" t="s">
        <v>41</v>
      </c>
      <c r="D101" s="5">
        <f>VLOOKUP(C101,'PESO GRUPO'!A$1:B$9,2,FALSE)</f>
        <v>20</v>
      </c>
      <c r="E101" s="6" t="s">
        <v>79</v>
      </c>
      <c r="F101" s="5">
        <f>VLOOKUP(E101,'PESOS SUBGRUPOS'!B$2:C$193,2,FALSE)</f>
        <v>100</v>
      </c>
      <c r="G101" s="6" t="s">
        <v>80</v>
      </c>
      <c r="H101" s="7" t="s">
        <v>15</v>
      </c>
      <c r="I101" s="5">
        <v>10</v>
      </c>
      <c r="M101" s="5" t="s">
        <v>500</v>
      </c>
    </row>
    <row r="102" spans="1:13" x14ac:dyDescent="0.25">
      <c r="A102" s="4">
        <v>104</v>
      </c>
      <c r="B102" s="5" t="s">
        <v>11</v>
      </c>
      <c r="C102" s="6" t="s">
        <v>41</v>
      </c>
      <c r="D102" s="5">
        <f>VLOOKUP(C102,'PESO GRUPO'!A$1:B$9,2,FALSE)</f>
        <v>20</v>
      </c>
      <c r="E102" s="6" t="s">
        <v>79</v>
      </c>
      <c r="F102" s="5">
        <f>VLOOKUP(E102,'PESOS SUBGRUPOS'!B$2:C$193,2,FALSE)</f>
        <v>100</v>
      </c>
      <c r="G102" s="6" t="s">
        <v>81</v>
      </c>
      <c r="H102" s="7" t="s">
        <v>15</v>
      </c>
      <c r="I102" s="5">
        <v>10</v>
      </c>
      <c r="M102" s="5" t="s">
        <v>500</v>
      </c>
    </row>
    <row r="103" spans="1:13" x14ac:dyDescent="0.25">
      <c r="A103" s="4">
        <v>105</v>
      </c>
      <c r="B103" s="5" t="s">
        <v>11</v>
      </c>
      <c r="C103" s="6" t="s">
        <v>41</v>
      </c>
      <c r="D103" s="5">
        <f>VLOOKUP(C103,'PESO GRUPO'!A$1:B$9,2,FALSE)</f>
        <v>20</v>
      </c>
      <c r="E103" s="6" t="s">
        <v>79</v>
      </c>
      <c r="F103" s="5">
        <f>VLOOKUP(E103,'PESOS SUBGRUPOS'!B$2:C$193,2,FALSE)</f>
        <v>100</v>
      </c>
      <c r="G103" s="6" t="s">
        <v>82</v>
      </c>
      <c r="H103" s="7" t="s">
        <v>15</v>
      </c>
      <c r="I103" s="5">
        <v>10</v>
      </c>
      <c r="M103" s="5" t="s">
        <v>500</v>
      </c>
    </row>
    <row r="104" spans="1:13" x14ac:dyDescent="0.25">
      <c r="A104" s="4">
        <v>106</v>
      </c>
      <c r="B104" s="5" t="s">
        <v>11</v>
      </c>
      <c r="C104" s="6" t="s">
        <v>41</v>
      </c>
      <c r="D104" s="5">
        <f>VLOOKUP(C104,'PESO GRUPO'!A$1:B$9,2,FALSE)</f>
        <v>20</v>
      </c>
      <c r="E104" s="6" t="s">
        <v>79</v>
      </c>
      <c r="F104" s="5">
        <f>VLOOKUP(E104,'PESOS SUBGRUPOS'!B$2:C$193,2,FALSE)</f>
        <v>100</v>
      </c>
      <c r="G104" s="6" t="s">
        <v>83</v>
      </c>
      <c r="H104" s="7" t="s">
        <v>15</v>
      </c>
      <c r="I104" s="5">
        <v>30</v>
      </c>
      <c r="M104" s="5" t="s">
        <v>500</v>
      </c>
    </row>
    <row r="105" spans="1:13" x14ac:dyDescent="0.25">
      <c r="A105" s="4">
        <v>107</v>
      </c>
      <c r="B105" s="5" t="s">
        <v>11</v>
      </c>
      <c r="C105" s="6" t="s">
        <v>41</v>
      </c>
      <c r="D105" s="5">
        <f>VLOOKUP(C105,'PESO GRUPO'!A$1:B$9,2,FALSE)</f>
        <v>20</v>
      </c>
      <c r="E105" s="6" t="s">
        <v>21</v>
      </c>
      <c r="F105" s="5">
        <f>VLOOKUP(E105,'PESOS SUBGRUPOS'!B$2:C$193,2,FALSE)</f>
        <v>100</v>
      </c>
      <c r="G105" s="6" t="s">
        <v>84</v>
      </c>
      <c r="H105" s="7" t="s">
        <v>15</v>
      </c>
      <c r="I105" s="5">
        <v>10</v>
      </c>
      <c r="M105" s="5" t="s">
        <v>500</v>
      </c>
    </row>
    <row r="106" spans="1:13" x14ac:dyDescent="0.25">
      <c r="A106" s="4">
        <v>108</v>
      </c>
      <c r="B106" s="5" t="s">
        <v>11</v>
      </c>
      <c r="C106" s="6" t="s">
        <v>41</v>
      </c>
      <c r="D106" s="5">
        <f>VLOOKUP(C106,'PESO GRUPO'!A$1:B$9,2,FALSE)</f>
        <v>20</v>
      </c>
      <c r="E106" s="6" t="s">
        <v>21</v>
      </c>
      <c r="F106" s="5">
        <f>VLOOKUP(E106,'PESOS SUBGRUPOS'!B$2:C$193,2,FALSE)</f>
        <v>100</v>
      </c>
      <c r="G106" s="8" t="s">
        <v>444</v>
      </c>
      <c r="H106" s="7" t="s">
        <v>15</v>
      </c>
      <c r="I106" s="5">
        <v>10</v>
      </c>
      <c r="M106" s="5" t="s">
        <v>500</v>
      </c>
    </row>
    <row r="107" spans="1:13" x14ac:dyDescent="0.25">
      <c r="A107" s="4">
        <v>109</v>
      </c>
      <c r="B107" s="5" t="s">
        <v>11</v>
      </c>
      <c r="C107" s="6" t="s">
        <v>41</v>
      </c>
      <c r="D107" s="5">
        <f>VLOOKUP(C107,'PESO GRUPO'!A$1:B$9,2,FALSE)</f>
        <v>20</v>
      </c>
      <c r="E107" s="6" t="s">
        <v>21</v>
      </c>
      <c r="F107" s="5">
        <f>VLOOKUP(E107,'PESOS SUBGRUPOS'!B$2:C$193,2,FALSE)</f>
        <v>100</v>
      </c>
      <c r="G107" s="6" t="s">
        <v>85</v>
      </c>
      <c r="H107" s="7" t="s">
        <v>15</v>
      </c>
      <c r="I107" s="5">
        <v>20</v>
      </c>
      <c r="M107" s="5" t="s">
        <v>500</v>
      </c>
    </row>
    <row r="108" spans="1:13" x14ac:dyDescent="0.25">
      <c r="A108" s="4">
        <v>110</v>
      </c>
      <c r="B108" s="5" t="s">
        <v>11</v>
      </c>
      <c r="C108" s="6" t="s">
        <v>41</v>
      </c>
      <c r="D108" s="5">
        <f>VLOOKUP(C108,'PESO GRUPO'!A$1:B$9,2,FALSE)</f>
        <v>20</v>
      </c>
      <c r="E108" s="6" t="s">
        <v>86</v>
      </c>
      <c r="F108" s="5">
        <f>VLOOKUP(E108,'PESOS SUBGRUPOS'!B$2:C$193,2,FALSE)</f>
        <v>100</v>
      </c>
      <c r="G108" s="6" t="s">
        <v>87</v>
      </c>
      <c r="H108" s="7" t="s">
        <v>15</v>
      </c>
      <c r="I108" s="5">
        <v>30</v>
      </c>
      <c r="M108" s="5" t="s">
        <v>500</v>
      </c>
    </row>
    <row r="109" spans="1:13" x14ac:dyDescent="0.25">
      <c r="A109" s="4">
        <v>111</v>
      </c>
      <c r="B109" s="5" t="s">
        <v>11</v>
      </c>
      <c r="C109" s="6" t="s">
        <v>41</v>
      </c>
      <c r="D109" s="5">
        <f>VLOOKUP(C109,'PESO GRUPO'!A$1:B$9,2,FALSE)</f>
        <v>20</v>
      </c>
      <c r="E109" s="6" t="s">
        <v>86</v>
      </c>
      <c r="F109" s="5">
        <f>VLOOKUP(E109,'PESOS SUBGRUPOS'!B$2:C$193,2,FALSE)</f>
        <v>100</v>
      </c>
      <c r="G109" s="6" t="s">
        <v>450</v>
      </c>
      <c r="H109" s="7" t="s">
        <v>15</v>
      </c>
      <c r="I109" s="5">
        <v>0</v>
      </c>
      <c r="M109" s="5" t="s">
        <v>500</v>
      </c>
    </row>
    <row r="110" spans="1:13" x14ac:dyDescent="0.25">
      <c r="A110" s="4">
        <v>112</v>
      </c>
      <c r="B110" s="5" t="s">
        <v>11</v>
      </c>
      <c r="C110" s="6" t="s">
        <v>41</v>
      </c>
      <c r="D110" s="5">
        <f>VLOOKUP(C110,'PESO GRUPO'!A$1:B$9,2,FALSE)</f>
        <v>20</v>
      </c>
      <c r="E110" s="6" t="s">
        <v>99</v>
      </c>
      <c r="F110" s="5">
        <f>VLOOKUP(E110,'PESOS SUBGRUPOS'!B$2:C$193,2,FALSE)</f>
        <v>40</v>
      </c>
      <c r="G110" s="6" t="s">
        <v>100</v>
      </c>
      <c r="H110" s="7" t="s">
        <v>15</v>
      </c>
      <c r="I110" s="5">
        <v>10</v>
      </c>
      <c r="M110" s="5" t="s">
        <v>500</v>
      </c>
    </row>
    <row r="111" spans="1:13" x14ac:dyDescent="0.25">
      <c r="A111" s="4">
        <v>113</v>
      </c>
      <c r="B111" s="5" t="s">
        <v>11</v>
      </c>
      <c r="C111" s="6" t="s">
        <v>41</v>
      </c>
      <c r="D111" s="5">
        <f>VLOOKUP(C111,'PESO GRUPO'!A$1:B$9,2,FALSE)</f>
        <v>20</v>
      </c>
      <c r="E111" s="6" t="s">
        <v>99</v>
      </c>
      <c r="F111" s="5">
        <f>VLOOKUP(E111,'PESOS SUBGRUPOS'!B$2:C$193,2,FALSE)</f>
        <v>40</v>
      </c>
      <c r="G111" s="6" t="s">
        <v>101</v>
      </c>
      <c r="H111" s="7" t="s">
        <v>15</v>
      </c>
      <c r="I111" s="5">
        <v>10</v>
      </c>
      <c r="M111" s="5" t="s">
        <v>500</v>
      </c>
    </row>
    <row r="112" spans="1:13" x14ac:dyDescent="0.25">
      <c r="A112" s="4">
        <v>114</v>
      </c>
      <c r="B112" s="5" t="s">
        <v>11</v>
      </c>
      <c r="C112" s="6" t="s">
        <v>41</v>
      </c>
      <c r="D112" s="5">
        <f>VLOOKUP(C112,'PESO GRUPO'!A$1:B$9,2,FALSE)</f>
        <v>20</v>
      </c>
      <c r="E112" s="6" t="s">
        <v>99</v>
      </c>
      <c r="F112" s="5">
        <f>VLOOKUP(E112,'PESOS SUBGRUPOS'!B$2:C$193,2,FALSE)</f>
        <v>40</v>
      </c>
      <c r="G112" s="6" t="s">
        <v>102</v>
      </c>
      <c r="H112" s="7" t="s">
        <v>15</v>
      </c>
      <c r="I112" s="5">
        <v>10</v>
      </c>
      <c r="M112" s="5" t="s">
        <v>500</v>
      </c>
    </row>
    <row r="113" spans="1:13" x14ac:dyDescent="0.25">
      <c r="A113" s="4">
        <v>115</v>
      </c>
      <c r="B113" s="5" t="s">
        <v>11</v>
      </c>
      <c r="C113" s="6" t="s">
        <v>41</v>
      </c>
      <c r="D113" s="5">
        <f>VLOOKUP(C113,'PESO GRUPO'!A$1:B$9,2,FALSE)</f>
        <v>20</v>
      </c>
      <c r="E113" s="6" t="s">
        <v>99</v>
      </c>
      <c r="F113" s="5">
        <f>VLOOKUP(E113,'PESOS SUBGRUPOS'!B$2:C$193,2,FALSE)</f>
        <v>40</v>
      </c>
      <c r="G113" s="6" t="s">
        <v>103</v>
      </c>
      <c r="H113" s="7" t="s">
        <v>15</v>
      </c>
      <c r="I113" s="5">
        <v>10</v>
      </c>
      <c r="M113" s="5" t="s">
        <v>500</v>
      </c>
    </row>
    <row r="114" spans="1:13" x14ac:dyDescent="0.25">
      <c r="A114" s="4">
        <v>116</v>
      </c>
      <c r="B114" s="5" t="s">
        <v>11</v>
      </c>
      <c r="C114" s="6" t="s">
        <v>41</v>
      </c>
      <c r="D114" s="5">
        <f>VLOOKUP(C114,'PESO GRUPO'!A$1:B$9,2,FALSE)</f>
        <v>20</v>
      </c>
      <c r="E114" s="6" t="s">
        <v>99</v>
      </c>
      <c r="F114" s="5">
        <f>VLOOKUP(E114,'PESOS SUBGRUPOS'!B$2:C$193,2,FALSE)</f>
        <v>40</v>
      </c>
      <c r="G114" s="6" t="s">
        <v>104</v>
      </c>
      <c r="H114" s="7" t="s">
        <v>15</v>
      </c>
      <c r="I114" s="5">
        <v>10</v>
      </c>
      <c r="M114" s="5" t="s">
        <v>500</v>
      </c>
    </row>
    <row r="115" spans="1:13" x14ac:dyDescent="0.25">
      <c r="A115" s="4">
        <v>117</v>
      </c>
      <c r="B115" s="5" t="s">
        <v>11</v>
      </c>
      <c r="C115" s="6" t="s">
        <v>41</v>
      </c>
      <c r="D115" s="5">
        <f>VLOOKUP(C115,'PESO GRUPO'!A$1:B$9,2,FALSE)</f>
        <v>20</v>
      </c>
      <c r="E115" s="6" t="s">
        <v>99</v>
      </c>
      <c r="F115" s="5">
        <f>VLOOKUP(E115,'PESOS SUBGRUPOS'!B$2:C$193,2,FALSE)</f>
        <v>40</v>
      </c>
      <c r="G115" s="6" t="s">
        <v>105</v>
      </c>
      <c r="H115" s="7" t="s">
        <v>15</v>
      </c>
      <c r="I115" s="5">
        <v>10</v>
      </c>
      <c r="M115" s="5" t="s">
        <v>500</v>
      </c>
    </row>
    <row r="116" spans="1:13" x14ac:dyDescent="0.25">
      <c r="A116" s="4">
        <v>118</v>
      </c>
      <c r="B116" s="5" t="s">
        <v>11</v>
      </c>
      <c r="C116" s="6" t="s">
        <v>41</v>
      </c>
      <c r="D116" s="5">
        <f>VLOOKUP(C116,'PESO GRUPO'!A$1:B$9,2,FALSE)</f>
        <v>20</v>
      </c>
      <c r="E116" s="6" t="s">
        <v>108</v>
      </c>
      <c r="F116" s="5">
        <f>VLOOKUP(E116,'PESOS SUBGRUPOS'!B$2:C$193,2,FALSE)</f>
        <v>80</v>
      </c>
      <c r="G116" s="6" t="s">
        <v>109</v>
      </c>
      <c r="H116" s="7" t="s">
        <v>15</v>
      </c>
      <c r="I116" s="5">
        <v>20</v>
      </c>
      <c r="M116" s="5" t="s">
        <v>500</v>
      </c>
    </row>
    <row r="117" spans="1:13" x14ac:dyDescent="0.25">
      <c r="A117" s="4">
        <v>119</v>
      </c>
      <c r="B117" s="5" t="s">
        <v>11</v>
      </c>
      <c r="C117" s="6" t="s">
        <v>41</v>
      </c>
      <c r="D117" s="5">
        <f>VLOOKUP(C117,'PESO GRUPO'!A$1:B$9,2,FALSE)</f>
        <v>20</v>
      </c>
      <c r="E117" s="6" t="s">
        <v>108</v>
      </c>
      <c r="F117" s="5">
        <f>VLOOKUP(E117,'PESOS SUBGRUPOS'!B$2:C$193,2,FALSE)</f>
        <v>80</v>
      </c>
      <c r="G117" s="6" t="s">
        <v>110</v>
      </c>
      <c r="H117" s="7" t="s">
        <v>15</v>
      </c>
      <c r="I117" s="5">
        <v>10</v>
      </c>
      <c r="M117" s="5" t="s">
        <v>500</v>
      </c>
    </row>
    <row r="118" spans="1:13" x14ac:dyDescent="0.25">
      <c r="A118" s="4">
        <v>120</v>
      </c>
      <c r="B118" s="5" t="s">
        <v>11</v>
      </c>
      <c r="C118" s="6" t="s">
        <v>41</v>
      </c>
      <c r="D118" s="5">
        <f>VLOOKUP(C118,'PESO GRUPO'!A$1:B$9,2,FALSE)</f>
        <v>20</v>
      </c>
      <c r="E118" s="6" t="s">
        <v>108</v>
      </c>
      <c r="F118" s="5">
        <f>VLOOKUP(E118,'PESOS SUBGRUPOS'!B$2:C$193,2,FALSE)</f>
        <v>80</v>
      </c>
      <c r="G118" s="6" t="s">
        <v>111</v>
      </c>
      <c r="H118" s="7" t="s">
        <v>15</v>
      </c>
      <c r="I118" s="5">
        <v>20</v>
      </c>
      <c r="M118" s="5" t="s">
        <v>500</v>
      </c>
    </row>
    <row r="119" spans="1:13" x14ac:dyDescent="0.25">
      <c r="A119" s="4">
        <v>121</v>
      </c>
      <c r="B119" s="5" t="s">
        <v>11</v>
      </c>
      <c r="C119" s="6" t="s">
        <v>41</v>
      </c>
      <c r="D119" s="5">
        <f>VLOOKUP(C119,'PESO GRUPO'!A$1:B$9,2,FALSE)</f>
        <v>20</v>
      </c>
      <c r="E119" s="6" t="s">
        <v>108</v>
      </c>
      <c r="F119" s="5">
        <f>VLOOKUP(E119,'PESOS SUBGRUPOS'!B$2:C$193,2,FALSE)</f>
        <v>80</v>
      </c>
      <c r="G119" s="6" t="s">
        <v>112</v>
      </c>
      <c r="H119" s="7" t="s">
        <v>15</v>
      </c>
      <c r="I119" s="5">
        <v>10</v>
      </c>
      <c r="M119" s="5" t="s">
        <v>500</v>
      </c>
    </row>
    <row r="120" spans="1:13" x14ac:dyDescent="0.25">
      <c r="A120" s="4">
        <v>122</v>
      </c>
      <c r="B120" s="5" t="s">
        <v>11</v>
      </c>
      <c r="C120" s="6" t="s">
        <v>41</v>
      </c>
      <c r="D120" s="5">
        <f>VLOOKUP(C120,'PESO GRUPO'!A$1:B$9,2,FALSE)</f>
        <v>20</v>
      </c>
      <c r="E120" s="6" t="s">
        <v>108</v>
      </c>
      <c r="F120" s="5">
        <f>VLOOKUP(E120,'PESOS SUBGRUPOS'!B$2:C$193,2,FALSE)</f>
        <v>80</v>
      </c>
      <c r="G120" s="6" t="s">
        <v>113</v>
      </c>
      <c r="H120" s="7" t="s">
        <v>15</v>
      </c>
      <c r="I120" s="5">
        <v>10</v>
      </c>
      <c r="M120" s="5" t="s">
        <v>500</v>
      </c>
    </row>
    <row r="121" spans="1:13" x14ac:dyDescent="0.25">
      <c r="A121" s="4">
        <v>123</v>
      </c>
      <c r="B121" s="5" t="s">
        <v>11</v>
      </c>
      <c r="C121" s="6" t="s">
        <v>41</v>
      </c>
      <c r="D121" s="5">
        <f>VLOOKUP(C121,'PESO GRUPO'!A$1:B$9,2,FALSE)</f>
        <v>20</v>
      </c>
      <c r="E121" s="6" t="s">
        <v>108</v>
      </c>
      <c r="F121" s="5">
        <f>VLOOKUP(E121,'PESOS SUBGRUPOS'!B$2:C$193,2,FALSE)</f>
        <v>80</v>
      </c>
      <c r="G121" s="6" t="s">
        <v>114</v>
      </c>
      <c r="H121" s="7" t="s">
        <v>15</v>
      </c>
      <c r="I121" s="5">
        <v>10</v>
      </c>
      <c r="M121" s="5" t="s">
        <v>500</v>
      </c>
    </row>
    <row r="122" spans="1:13" x14ac:dyDescent="0.25">
      <c r="A122" s="4">
        <v>124</v>
      </c>
      <c r="B122" s="5" t="s">
        <v>11</v>
      </c>
      <c r="C122" s="6" t="s">
        <v>41</v>
      </c>
      <c r="D122" s="5">
        <f>VLOOKUP(C122,'PESO GRUPO'!A$1:B$9,2,FALSE)</f>
        <v>20</v>
      </c>
      <c r="E122" s="6" t="s">
        <v>108</v>
      </c>
      <c r="F122" s="5">
        <f>VLOOKUP(E122,'PESOS SUBGRUPOS'!B$2:C$193,2,FALSE)</f>
        <v>80</v>
      </c>
      <c r="G122" s="6" t="s">
        <v>115</v>
      </c>
      <c r="H122" s="7" t="s">
        <v>15</v>
      </c>
      <c r="I122" s="5">
        <v>60</v>
      </c>
      <c r="M122" s="5" t="s">
        <v>500</v>
      </c>
    </row>
    <row r="123" spans="1:13" x14ac:dyDescent="0.25">
      <c r="A123" s="4">
        <v>125</v>
      </c>
      <c r="B123" s="5" t="s">
        <v>11</v>
      </c>
      <c r="C123" s="6" t="s">
        <v>41</v>
      </c>
      <c r="D123" s="5">
        <f>VLOOKUP(C123,'PESO GRUPO'!A$1:B$9,2,FALSE)</f>
        <v>20</v>
      </c>
      <c r="E123" s="6" t="s">
        <v>108</v>
      </c>
      <c r="F123" s="5">
        <f>VLOOKUP(E123,'PESOS SUBGRUPOS'!B$2:C$193,2,FALSE)</f>
        <v>80</v>
      </c>
      <c r="G123" s="6" t="s">
        <v>116</v>
      </c>
      <c r="H123" s="7" t="s">
        <v>15</v>
      </c>
      <c r="I123" s="5">
        <v>10</v>
      </c>
      <c r="M123" s="5" t="s">
        <v>500</v>
      </c>
    </row>
    <row r="124" spans="1:13" x14ac:dyDescent="0.25">
      <c r="A124" s="4">
        <v>126</v>
      </c>
      <c r="B124" s="5" t="s">
        <v>11</v>
      </c>
      <c r="C124" s="6" t="s">
        <v>41</v>
      </c>
      <c r="D124" s="5">
        <f>VLOOKUP(C124,'PESO GRUPO'!A$1:B$9,2,FALSE)</f>
        <v>20</v>
      </c>
      <c r="E124" s="6" t="s">
        <v>108</v>
      </c>
      <c r="F124" s="5">
        <f>VLOOKUP(E124,'PESOS SUBGRUPOS'!B$2:C$193,2,FALSE)</f>
        <v>80</v>
      </c>
      <c r="G124" s="6" t="s">
        <v>117</v>
      </c>
      <c r="H124" s="7" t="s">
        <v>15</v>
      </c>
      <c r="I124" s="5">
        <v>10</v>
      </c>
      <c r="M124" s="5" t="s">
        <v>500</v>
      </c>
    </row>
    <row r="125" spans="1:13" x14ac:dyDescent="0.25">
      <c r="A125" s="4">
        <v>127</v>
      </c>
      <c r="B125" s="5" t="s">
        <v>11</v>
      </c>
      <c r="C125" s="6" t="s">
        <v>41</v>
      </c>
      <c r="D125" s="5">
        <f>VLOOKUP(C125,'PESO GRUPO'!A$1:B$9,2,FALSE)</f>
        <v>20</v>
      </c>
      <c r="E125" s="6" t="s">
        <v>118</v>
      </c>
      <c r="F125" s="5">
        <f>VLOOKUP(E125,'PESOS SUBGRUPOS'!B$2:C$193,2,FALSE)</f>
        <v>40</v>
      </c>
      <c r="G125" s="6" t="s">
        <v>451</v>
      </c>
      <c r="H125" s="7" t="s">
        <v>15</v>
      </c>
      <c r="I125" s="5">
        <v>30</v>
      </c>
      <c r="M125" s="5" t="s">
        <v>500</v>
      </c>
    </row>
    <row r="126" spans="1:13" x14ac:dyDescent="0.25">
      <c r="A126" s="4">
        <v>128</v>
      </c>
      <c r="B126" s="5" t="s">
        <v>11</v>
      </c>
      <c r="C126" s="6" t="s">
        <v>41</v>
      </c>
      <c r="D126" s="5">
        <f>VLOOKUP(C126,'PESO GRUPO'!A$1:B$9,2,FALSE)</f>
        <v>20</v>
      </c>
      <c r="E126" s="6" t="s">
        <v>46</v>
      </c>
      <c r="F126" s="5">
        <f>VLOOKUP(E126,'PESOS SUBGRUPOS'!B$2:C$193,2,FALSE)</f>
        <v>40</v>
      </c>
      <c r="G126" s="6" t="s">
        <v>119</v>
      </c>
      <c r="H126" s="7" t="s">
        <v>15</v>
      </c>
      <c r="I126" s="5">
        <v>10</v>
      </c>
      <c r="M126" s="5" t="s">
        <v>500</v>
      </c>
    </row>
    <row r="127" spans="1:13" x14ac:dyDescent="0.25">
      <c r="A127" s="4">
        <v>129</v>
      </c>
      <c r="B127" s="5" t="s">
        <v>11</v>
      </c>
      <c r="C127" s="6" t="s">
        <v>41</v>
      </c>
      <c r="D127" s="5">
        <f>VLOOKUP(C127,'PESO GRUPO'!A$1:B$9,2,FALSE)</f>
        <v>20</v>
      </c>
      <c r="E127" s="6" t="s">
        <v>46</v>
      </c>
      <c r="F127" s="5">
        <f>VLOOKUP(E127,'PESOS SUBGRUPOS'!B$2:C$193,2,FALSE)</f>
        <v>40</v>
      </c>
      <c r="G127" s="6" t="s">
        <v>120</v>
      </c>
      <c r="H127" s="7" t="s">
        <v>15</v>
      </c>
      <c r="I127" s="5">
        <v>10</v>
      </c>
      <c r="M127" s="5" t="s">
        <v>500</v>
      </c>
    </row>
    <row r="128" spans="1:13" x14ac:dyDescent="0.25">
      <c r="A128" s="4">
        <v>130</v>
      </c>
      <c r="B128" s="5" t="s">
        <v>11</v>
      </c>
      <c r="C128" s="6" t="s">
        <v>41</v>
      </c>
      <c r="D128" s="5">
        <f>VLOOKUP(C128,'PESO GRUPO'!A$1:B$9,2,FALSE)</f>
        <v>20</v>
      </c>
      <c r="E128" s="6" t="s">
        <v>46</v>
      </c>
      <c r="F128" s="5">
        <f>VLOOKUP(E128,'PESOS SUBGRUPOS'!B$2:C$193,2,FALSE)</f>
        <v>40</v>
      </c>
      <c r="G128" s="6" t="s">
        <v>121</v>
      </c>
      <c r="H128" s="7" t="s">
        <v>15</v>
      </c>
      <c r="I128" s="5">
        <v>10</v>
      </c>
      <c r="M128" s="5" t="s">
        <v>500</v>
      </c>
    </row>
    <row r="129" spans="1:13" x14ac:dyDescent="0.25">
      <c r="A129" s="4">
        <v>131</v>
      </c>
      <c r="B129" s="5" t="s">
        <v>11</v>
      </c>
      <c r="C129" s="6" t="s">
        <v>41</v>
      </c>
      <c r="D129" s="5">
        <f>VLOOKUP(C129,'PESO GRUPO'!A$1:B$9,2,FALSE)</f>
        <v>20</v>
      </c>
      <c r="E129" s="6" t="s">
        <v>46</v>
      </c>
      <c r="F129" s="5">
        <f>VLOOKUP(E129,'PESOS SUBGRUPOS'!B$2:C$193,2,FALSE)</f>
        <v>40</v>
      </c>
      <c r="G129" s="6" t="s">
        <v>122</v>
      </c>
      <c r="H129" s="7" t="s">
        <v>15</v>
      </c>
      <c r="I129" s="5">
        <v>10</v>
      </c>
      <c r="M129" s="5" t="s">
        <v>500</v>
      </c>
    </row>
    <row r="130" spans="1:13" x14ac:dyDescent="0.25">
      <c r="A130" s="4">
        <v>132</v>
      </c>
      <c r="B130" s="5" t="s">
        <v>11</v>
      </c>
      <c r="C130" s="6" t="s">
        <v>41</v>
      </c>
      <c r="D130" s="5">
        <f>VLOOKUP(C130,'PESO GRUPO'!A$1:B$9,2,FALSE)</f>
        <v>20</v>
      </c>
      <c r="E130" s="6" t="s">
        <v>46</v>
      </c>
      <c r="F130" s="5">
        <f>VLOOKUP(E130,'PESOS SUBGRUPOS'!B$2:C$193,2,FALSE)</f>
        <v>40</v>
      </c>
      <c r="G130" s="6" t="s">
        <v>123</v>
      </c>
      <c r="H130" s="7" t="s">
        <v>15</v>
      </c>
      <c r="I130" s="5">
        <v>10</v>
      </c>
      <c r="M130" s="5" t="s">
        <v>500</v>
      </c>
    </row>
    <row r="131" spans="1:13" x14ac:dyDescent="0.25">
      <c r="A131" s="4">
        <v>133</v>
      </c>
      <c r="B131" s="5" t="s">
        <v>11</v>
      </c>
      <c r="C131" s="6" t="s">
        <v>41</v>
      </c>
      <c r="D131" s="5">
        <f>VLOOKUP(C131,'PESO GRUPO'!A$1:B$9,2,FALSE)</f>
        <v>20</v>
      </c>
      <c r="E131" s="6" t="s">
        <v>46</v>
      </c>
      <c r="F131" s="5">
        <f>VLOOKUP(E131,'PESOS SUBGRUPOS'!B$2:C$193,2,FALSE)</f>
        <v>40</v>
      </c>
      <c r="G131" s="6" t="s">
        <v>124</v>
      </c>
      <c r="H131" s="7" t="s">
        <v>15</v>
      </c>
      <c r="I131" s="5">
        <v>10</v>
      </c>
      <c r="M131" s="5" t="s">
        <v>500</v>
      </c>
    </row>
    <row r="132" spans="1:13" x14ac:dyDescent="0.25">
      <c r="A132" s="4">
        <v>134</v>
      </c>
      <c r="B132" s="5" t="s">
        <v>11</v>
      </c>
      <c r="C132" s="6" t="s">
        <v>41</v>
      </c>
      <c r="D132" s="5">
        <f>VLOOKUP(C132,'PESO GRUPO'!A$1:B$9,2,FALSE)</f>
        <v>20</v>
      </c>
      <c r="E132" s="6" t="s">
        <v>46</v>
      </c>
      <c r="F132" s="5">
        <f>VLOOKUP(E132,'PESOS SUBGRUPOS'!B$2:C$193,2,FALSE)</f>
        <v>40</v>
      </c>
      <c r="G132" s="6" t="s">
        <v>125</v>
      </c>
      <c r="H132" s="7" t="s">
        <v>15</v>
      </c>
      <c r="I132" s="5">
        <v>10</v>
      </c>
      <c r="M132" s="5" t="s">
        <v>500</v>
      </c>
    </row>
    <row r="133" spans="1:13" x14ac:dyDescent="0.25">
      <c r="A133" s="4">
        <v>135</v>
      </c>
      <c r="B133" s="5" t="s">
        <v>11</v>
      </c>
      <c r="C133" s="6" t="s">
        <v>41</v>
      </c>
      <c r="D133" s="5">
        <f>VLOOKUP(C133,'PESO GRUPO'!A$1:B$9,2,FALSE)</f>
        <v>20</v>
      </c>
      <c r="E133" s="6" t="s">
        <v>46</v>
      </c>
      <c r="F133" s="5">
        <f>VLOOKUP(E133,'PESOS SUBGRUPOS'!B$2:C$193,2,FALSE)</f>
        <v>40</v>
      </c>
      <c r="G133" s="6" t="s">
        <v>126</v>
      </c>
      <c r="H133" s="7" t="s">
        <v>15</v>
      </c>
      <c r="I133" s="5">
        <v>10</v>
      </c>
      <c r="M133" s="5" t="s">
        <v>500</v>
      </c>
    </row>
    <row r="134" spans="1:13" x14ac:dyDescent="0.25">
      <c r="A134" s="4">
        <v>136</v>
      </c>
      <c r="B134" s="5" t="s">
        <v>11</v>
      </c>
      <c r="C134" s="6" t="s">
        <v>41</v>
      </c>
      <c r="D134" s="5">
        <f>VLOOKUP(C134,'PESO GRUPO'!A$1:B$9,2,FALSE)</f>
        <v>20</v>
      </c>
      <c r="E134" s="6" t="s">
        <v>46</v>
      </c>
      <c r="F134" s="5">
        <f>VLOOKUP(E134,'PESOS SUBGRUPOS'!B$2:C$193,2,FALSE)</f>
        <v>40</v>
      </c>
      <c r="G134" s="6" t="s">
        <v>127</v>
      </c>
      <c r="H134" s="7" t="s">
        <v>15</v>
      </c>
      <c r="I134" s="5">
        <v>30</v>
      </c>
      <c r="M134" s="5" t="s">
        <v>500</v>
      </c>
    </row>
    <row r="135" spans="1:13" x14ac:dyDescent="0.25">
      <c r="A135" s="4">
        <v>137</v>
      </c>
      <c r="B135" s="5" t="s">
        <v>11</v>
      </c>
      <c r="C135" s="6" t="s">
        <v>41</v>
      </c>
      <c r="D135" s="5">
        <f>VLOOKUP(C135,'PESO GRUPO'!A$1:B$9,2,FALSE)</f>
        <v>20</v>
      </c>
      <c r="E135" s="6" t="s">
        <v>46</v>
      </c>
      <c r="F135" s="5">
        <f>VLOOKUP(E135,'PESOS SUBGRUPOS'!B$2:C$193,2,FALSE)</f>
        <v>40</v>
      </c>
      <c r="G135" s="6" t="s">
        <v>45</v>
      </c>
      <c r="H135" s="7" t="s">
        <v>15</v>
      </c>
      <c r="I135" s="5">
        <v>10</v>
      </c>
      <c r="M135" s="5" t="s">
        <v>500</v>
      </c>
    </row>
    <row r="136" spans="1:13" x14ac:dyDescent="0.25">
      <c r="A136" s="4">
        <v>138</v>
      </c>
      <c r="B136" s="5" t="s">
        <v>11</v>
      </c>
      <c r="C136" s="6" t="s">
        <v>41</v>
      </c>
      <c r="D136" s="5">
        <f>VLOOKUP(C136,'PESO GRUPO'!A$1:B$9,2,FALSE)</f>
        <v>20</v>
      </c>
      <c r="E136" s="6" t="s">
        <v>46</v>
      </c>
      <c r="F136" s="5">
        <f>VLOOKUP(E136,'PESOS SUBGRUPOS'!B$2:C$193,2,FALSE)</f>
        <v>40</v>
      </c>
      <c r="G136" s="6" t="s">
        <v>128</v>
      </c>
      <c r="H136" s="7" t="s">
        <v>15</v>
      </c>
      <c r="I136" s="5">
        <v>10</v>
      </c>
      <c r="M136" s="5" t="s">
        <v>500</v>
      </c>
    </row>
    <row r="137" spans="1:13" x14ac:dyDescent="0.25">
      <c r="A137" s="4">
        <v>139</v>
      </c>
      <c r="B137" s="5" t="s">
        <v>11</v>
      </c>
      <c r="C137" s="6" t="s">
        <v>41</v>
      </c>
      <c r="D137" s="5">
        <f>VLOOKUP(C137,'PESO GRUPO'!A$1:B$9,2,FALSE)</f>
        <v>20</v>
      </c>
      <c r="E137" s="6" t="s">
        <v>46</v>
      </c>
      <c r="F137" s="5">
        <f>VLOOKUP(E137,'PESOS SUBGRUPOS'!B$2:C$193,2,FALSE)</f>
        <v>40</v>
      </c>
      <c r="G137" s="6" t="s">
        <v>131</v>
      </c>
      <c r="H137" s="7" t="s">
        <v>15</v>
      </c>
      <c r="I137" s="5">
        <v>10</v>
      </c>
      <c r="M137" s="5" t="s">
        <v>500</v>
      </c>
    </row>
    <row r="138" spans="1:13" x14ac:dyDescent="0.25">
      <c r="A138" s="4">
        <v>140</v>
      </c>
      <c r="B138" s="5" t="s">
        <v>11</v>
      </c>
      <c r="C138" s="6" t="s">
        <v>41</v>
      </c>
      <c r="D138" s="5">
        <f>VLOOKUP(C138,'PESO GRUPO'!A$1:B$9,2,FALSE)</f>
        <v>20</v>
      </c>
      <c r="E138" s="6" t="s">
        <v>46</v>
      </c>
      <c r="F138" s="5">
        <f>VLOOKUP(E138,'PESOS SUBGRUPOS'!B$2:C$193,2,FALSE)</f>
        <v>40</v>
      </c>
      <c r="G138" s="6" t="s">
        <v>134</v>
      </c>
      <c r="H138" s="7" t="s">
        <v>15</v>
      </c>
      <c r="I138" s="5">
        <v>10</v>
      </c>
      <c r="M138" s="5" t="s">
        <v>500</v>
      </c>
    </row>
    <row r="139" spans="1:13" x14ac:dyDescent="0.25">
      <c r="A139" s="4">
        <v>141</v>
      </c>
      <c r="B139" s="5" t="s">
        <v>11</v>
      </c>
      <c r="C139" s="6" t="s">
        <v>41</v>
      </c>
      <c r="D139" s="5">
        <f>VLOOKUP(C139,'PESO GRUPO'!A$1:B$9,2,FALSE)</f>
        <v>20</v>
      </c>
      <c r="E139" s="6" t="s">
        <v>46</v>
      </c>
      <c r="F139" s="5">
        <f>VLOOKUP(E139,'PESOS SUBGRUPOS'!B$2:C$193,2,FALSE)</f>
        <v>40</v>
      </c>
      <c r="G139" s="6" t="s">
        <v>135</v>
      </c>
      <c r="H139" s="7" t="s">
        <v>15</v>
      </c>
      <c r="I139" s="5">
        <v>10</v>
      </c>
      <c r="M139" s="5" t="s">
        <v>500</v>
      </c>
    </row>
    <row r="140" spans="1:13" x14ac:dyDescent="0.25">
      <c r="A140" s="4">
        <v>142</v>
      </c>
      <c r="B140" s="5" t="s">
        <v>11</v>
      </c>
      <c r="C140" s="6" t="s">
        <v>41</v>
      </c>
      <c r="D140" s="5">
        <f>VLOOKUP(C140,'PESO GRUPO'!A$1:B$9,2,FALSE)</f>
        <v>20</v>
      </c>
      <c r="E140" s="6" t="s">
        <v>132</v>
      </c>
      <c r="F140" s="5">
        <f>VLOOKUP(E140,'PESOS SUBGRUPOS'!B$2:C$193,2,FALSE)</f>
        <v>40</v>
      </c>
      <c r="G140" s="6" t="s">
        <v>133</v>
      </c>
      <c r="H140" s="7" t="s">
        <v>15</v>
      </c>
      <c r="I140" s="5">
        <v>10</v>
      </c>
      <c r="M140" s="5" t="s">
        <v>500</v>
      </c>
    </row>
    <row r="141" spans="1:13" x14ac:dyDescent="0.25">
      <c r="A141" s="4">
        <v>143</v>
      </c>
      <c r="B141" s="5" t="s">
        <v>11</v>
      </c>
      <c r="C141" s="6" t="s">
        <v>41</v>
      </c>
      <c r="D141" s="5">
        <f>VLOOKUP(C141,'PESO GRUPO'!A$1:B$9,2,FALSE)</f>
        <v>20</v>
      </c>
      <c r="E141" s="6" t="s">
        <v>132</v>
      </c>
      <c r="F141" s="5">
        <f>VLOOKUP(E141,'PESOS SUBGRUPOS'!B$2:C$193,2,FALSE)</f>
        <v>40</v>
      </c>
      <c r="G141" s="6" t="s">
        <v>136</v>
      </c>
      <c r="H141" s="7" t="s">
        <v>15</v>
      </c>
      <c r="I141" s="5">
        <v>10</v>
      </c>
      <c r="M141" s="5" t="s">
        <v>500</v>
      </c>
    </row>
    <row r="142" spans="1:13" x14ac:dyDescent="0.25">
      <c r="A142" s="4">
        <v>144</v>
      </c>
      <c r="B142" s="5" t="s">
        <v>11</v>
      </c>
      <c r="C142" s="6" t="s">
        <v>41</v>
      </c>
      <c r="D142" s="5">
        <f>VLOOKUP(C142,'PESO GRUPO'!A$1:B$9,2,FALSE)</f>
        <v>20</v>
      </c>
      <c r="E142" s="6" t="s">
        <v>132</v>
      </c>
      <c r="F142" s="5">
        <f>VLOOKUP(E142,'PESOS SUBGRUPOS'!B$2:C$193,2,FALSE)</f>
        <v>40</v>
      </c>
      <c r="G142" s="6" t="s">
        <v>137</v>
      </c>
      <c r="H142" s="7" t="s">
        <v>15</v>
      </c>
      <c r="I142" s="5">
        <v>10</v>
      </c>
      <c r="M142" s="5" t="s">
        <v>500</v>
      </c>
    </row>
    <row r="143" spans="1:13" x14ac:dyDescent="0.25">
      <c r="A143" s="4">
        <v>145</v>
      </c>
      <c r="B143" s="5" t="s">
        <v>11</v>
      </c>
      <c r="C143" s="6" t="s">
        <v>41</v>
      </c>
      <c r="D143" s="5">
        <f>VLOOKUP(C143,'PESO GRUPO'!A$1:B$9,2,FALSE)</f>
        <v>20</v>
      </c>
      <c r="E143" s="6" t="s">
        <v>132</v>
      </c>
      <c r="F143" s="5">
        <f>VLOOKUP(E143,'PESOS SUBGRUPOS'!B$2:C$193,2,FALSE)</f>
        <v>40</v>
      </c>
      <c r="G143" s="6" t="s">
        <v>138</v>
      </c>
      <c r="H143" s="7" t="s">
        <v>15</v>
      </c>
      <c r="I143" s="5">
        <v>10</v>
      </c>
      <c r="M143" s="5" t="s">
        <v>500</v>
      </c>
    </row>
    <row r="144" spans="1:13" x14ac:dyDescent="0.25">
      <c r="A144" s="4">
        <v>146</v>
      </c>
      <c r="B144" s="5" t="s">
        <v>11</v>
      </c>
      <c r="C144" s="6" t="s">
        <v>41</v>
      </c>
      <c r="D144" s="5">
        <f>VLOOKUP(C144,'PESO GRUPO'!A$1:B$9,2,FALSE)</f>
        <v>20</v>
      </c>
      <c r="E144" s="6" t="s">
        <v>132</v>
      </c>
      <c r="F144" s="5">
        <f>VLOOKUP(E144,'PESOS SUBGRUPOS'!B$2:C$193,2,FALSE)</f>
        <v>40</v>
      </c>
      <c r="G144" s="6" t="s">
        <v>139</v>
      </c>
      <c r="H144" s="7" t="s">
        <v>15</v>
      </c>
      <c r="I144" s="5">
        <v>10</v>
      </c>
      <c r="M144" s="5" t="s">
        <v>500</v>
      </c>
    </row>
    <row r="145" spans="1:13" x14ac:dyDescent="0.25">
      <c r="A145" s="4">
        <v>147</v>
      </c>
      <c r="B145" s="5" t="s">
        <v>11</v>
      </c>
      <c r="C145" s="6" t="s">
        <v>41</v>
      </c>
      <c r="D145" s="5">
        <f>VLOOKUP(C145,'PESO GRUPO'!A$1:B$9,2,FALSE)</f>
        <v>20</v>
      </c>
      <c r="E145" s="6" t="s">
        <v>132</v>
      </c>
      <c r="F145" s="5">
        <f>VLOOKUP(E145,'PESOS SUBGRUPOS'!B$2:C$193,2,FALSE)</f>
        <v>40</v>
      </c>
      <c r="G145" s="6" t="s">
        <v>140</v>
      </c>
      <c r="H145" s="7" t="s">
        <v>15</v>
      </c>
      <c r="I145" s="5">
        <v>10</v>
      </c>
      <c r="M145" s="5" t="s">
        <v>500</v>
      </c>
    </row>
    <row r="146" spans="1:13" x14ac:dyDescent="0.25">
      <c r="A146" s="4">
        <v>148</v>
      </c>
      <c r="B146" s="5" t="s">
        <v>11</v>
      </c>
      <c r="C146" s="6" t="s">
        <v>41</v>
      </c>
      <c r="D146" s="5">
        <f>VLOOKUP(C146,'PESO GRUPO'!A$1:B$9,2,FALSE)</f>
        <v>20</v>
      </c>
      <c r="E146" s="6" t="s">
        <v>141</v>
      </c>
      <c r="F146" s="5">
        <f>VLOOKUP(E146,'PESOS SUBGRUPOS'!B$2:C$193,2,FALSE)</f>
        <v>40</v>
      </c>
      <c r="G146" s="6" t="s">
        <v>43</v>
      </c>
      <c r="H146" s="7" t="s">
        <v>15</v>
      </c>
      <c r="I146" s="5">
        <v>10</v>
      </c>
      <c r="M146" s="5" t="s">
        <v>500</v>
      </c>
    </row>
    <row r="147" spans="1:13" x14ac:dyDescent="0.25">
      <c r="A147" s="4">
        <v>149</v>
      </c>
      <c r="B147" s="5" t="s">
        <v>11</v>
      </c>
      <c r="C147" s="6" t="s">
        <v>41</v>
      </c>
      <c r="D147" s="5">
        <f>VLOOKUP(C147,'PESO GRUPO'!A$1:B$9,2,FALSE)</f>
        <v>20</v>
      </c>
      <c r="E147" s="6" t="s">
        <v>141</v>
      </c>
      <c r="F147" s="5">
        <f>VLOOKUP(E147,'PESOS SUBGRUPOS'!B$2:C$193,2,FALSE)</f>
        <v>40</v>
      </c>
      <c r="G147" s="6" t="s">
        <v>44</v>
      </c>
      <c r="H147" s="7" t="s">
        <v>15</v>
      </c>
      <c r="I147" s="5">
        <v>10</v>
      </c>
      <c r="M147" s="5" t="s">
        <v>500</v>
      </c>
    </row>
    <row r="148" spans="1:13" x14ac:dyDescent="0.25">
      <c r="A148" s="4">
        <v>150</v>
      </c>
      <c r="B148" s="5" t="s">
        <v>11</v>
      </c>
      <c r="C148" s="6" t="s">
        <v>41</v>
      </c>
      <c r="D148" s="5">
        <f>VLOOKUP(C148,'PESO GRUPO'!A$1:B$9,2,FALSE)</f>
        <v>20</v>
      </c>
      <c r="E148" s="6" t="s">
        <v>141</v>
      </c>
      <c r="F148" s="5">
        <f>VLOOKUP(E148,'PESOS SUBGRUPOS'!B$2:C$193,2,FALSE)</f>
        <v>40</v>
      </c>
      <c r="G148" s="6" t="s">
        <v>45</v>
      </c>
      <c r="H148" s="7" t="s">
        <v>15</v>
      </c>
      <c r="I148" s="5">
        <v>10</v>
      </c>
      <c r="M148" s="5" t="s">
        <v>500</v>
      </c>
    </row>
    <row r="149" spans="1:13" x14ac:dyDescent="0.25">
      <c r="A149" s="4">
        <v>151</v>
      </c>
      <c r="B149" s="5" t="s">
        <v>11</v>
      </c>
      <c r="C149" s="6" t="s">
        <v>41</v>
      </c>
      <c r="D149" s="5">
        <f>VLOOKUP(C149,'PESO GRUPO'!A$1:B$9,2,FALSE)</f>
        <v>20</v>
      </c>
      <c r="E149" s="6" t="s">
        <v>129</v>
      </c>
      <c r="F149" s="5">
        <f>VLOOKUP(E149,'PESOS SUBGRUPOS'!B$2:C$193,2,FALSE)</f>
        <v>20</v>
      </c>
      <c r="G149" s="6" t="s">
        <v>130</v>
      </c>
      <c r="H149" s="7" t="s">
        <v>15</v>
      </c>
      <c r="I149" s="5">
        <v>10</v>
      </c>
      <c r="M149" s="5" t="s">
        <v>500</v>
      </c>
    </row>
    <row r="150" spans="1:13" x14ac:dyDescent="0.25">
      <c r="A150" s="4">
        <v>152</v>
      </c>
      <c r="B150" s="5" t="s">
        <v>11</v>
      </c>
      <c r="C150" s="6" t="s">
        <v>41</v>
      </c>
      <c r="D150" s="5">
        <f>VLOOKUP(C150,'PESO GRUPO'!A$1:B$9,2,FALSE)</f>
        <v>20</v>
      </c>
      <c r="E150" s="6" t="s">
        <v>129</v>
      </c>
      <c r="F150" s="5">
        <f>VLOOKUP(E150,'PESOS SUBGRUPOS'!B$2:C$193,2,FALSE)</f>
        <v>20</v>
      </c>
      <c r="G150" s="6" t="s">
        <v>142</v>
      </c>
      <c r="H150" s="7" t="s">
        <v>15</v>
      </c>
      <c r="I150" s="5">
        <v>10</v>
      </c>
      <c r="M150" s="5" t="s">
        <v>500</v>
      </c>
    </row>
    <row r="151" spans="1:13" x14ac:dyDescent="0.25">
      <c r="A151" s="4">
        <v>153</v>
      </c>
      <c r="B151" s="5" t="s">
        <v>11</v>
      </c>
      <c r="C151" s="6" t="s">
        <v>41</v>
      </c>
      <c r="D151" s="5">
        <f>VLOOKUP(C151,'PESO GRUPO'!A$1:B$9,2,FALSE)</f>
        <v>20</v>
      </c>
      <c r="E151" s="6" t="s">
        <v>129</v>
      </c>
      <c r="F151" s="5">
        <f>VLOOKUP(E151,'PESOS SUBGRUPOS'!B$2:C$193,2,FALSE)</f>
        <v>20</v>
      </c>
      <c r="G151" s="6" t="s">
        <v>143</v>
      </c>
      <c r="H151" s="7" t="s">
        <v>15</v>
      </c>
      <c r="I151" s="5">
        <v>10</v>
      </c>
      <c r="M151" s="5" t="s">
        <v>500</v>
      </c>
    </row>
    <row r="152" spans="1:13" x14ac:dyDescent="0.25">
      <c r="A152" s="4">
        <v>154</v>
      </c>
      <c r="B152" s="5" t="s">
        <v>11</v>
      </c>
      <c r="C152" s="6" t="s">
        <v>41</v>
      </c>
      <c r="D152" s="5">
        <f>VLOOKUP(C152,'PESO GRUPO'!A$1:B$9,2,FALSE)</f>
        <v>20</v>
      </c>
      <c r="E152" s="6" t="s">
        <v>129</v>
      </c>
      <c r="F152" s="5">
        <f>VLOOKUP(E152,'PESOS SUBGRUPOS'!B$2:C$193,2,FALSE)</f>
        <v>20</v>
      </c>
      <c r="G152" s="6" t="s">
        <v>144</v>
      </c>
      <c r="H152" s="7" t="s">
        <v>15</v>
      </c>
      <c r="I152" s="5">
        <v>10</v>
      </c>
      <c r="M152" s="5" t="s">
        <v>500</v>
      </c>
    </row>
    <row r="153" spans="1:13" x14ac:dyDescent="0.25">
      <c r="A153" s="4">
        <v>155</v>
      </c>
      <c r="B153" s="5" t="s">
        <v>11</v>
      </c>
      <c r="C153" s="6" t="s">
        <v>41</v>
      </c>
      <c r="D153" s="5">
        <f>VLOOKUP(C153,'PESO GRUPO'!A$1:B$9,2,FALSE)</f>
        <v>20</v>
      </c>
      <c r="E153" s="6" t="s">
        <v>129</v>
      </c>
      <c r="F153" s="5">
        <f>VLOOKUP(E153,'PESOS SUBGRUPOS'!B$2:C$193,2,FALSE)</f>
        <v>20</v>
      </c>
      <c r="G153" s="6" t="s">
        <v>145</v>
      </c>
      <c r="H153" s="7" t="s">
        <v>15</v>
      </c>
      <c r="I153" s="5">
        <v>10</v>
      </c>
      <c r="M153" s="5" t="s">
        <v>500</v>
      </c>
    </row>
    <row r="154" spans="1:13" x14ac:dyDescent="0.25">
      <c r="A154" s="4">
        <v>156</v>
      </c>
      <c r="B154" s="5" t="s">
        <v>11</v>
      </c>
      <c r="C154" s="6" t="s">
        <v>41</v>
      </c>
      <c r="D154" s="5">
        <f>VLOOKUP(C154,'PESO GRUPO'!A$1:B$9,2,FALSE)</f>
        <v>20</v>
      </c>
      <c r="E154" s="6" t="s">
        <v>129</v>
      </c>
      <c r="F154" s="5">
        <f>VLOOKUP(E154,'PESOS SUBGRUPOS'!B$2:C$193,2,FALSE)</f>
        <v>20</v>
      </c>
      <c r="G154" s="6" t="s">
        <v>146</v>
      </c>
      <c r="H154" s="7" t="s">
        <v>15</v>
      </c>
      <c r="I154" s="5">
        <v>10</v>
      </c>
      <c r="M154" s="5" t="s">
        <v>500</v>
      </c>
    </row>
    <row r="155" spans="1:13" x14ac:dyDescent="0.25">
      <c r="A155" s="4">
        <v>157</v>
      </c>
      <c r="B155" s="5" t="s">
        <v>11</v>
      </c>
      <c r="C155" s="6" t="s">
        <v>41</v>
      </c>
      <c r="D155" s="5">
        <f>VLOOKUP(C155,'PESO GRUPO'!A$1:B$9,2,FALSE)</f>
        <v>20</v>
      </c>
      <c r="E155" s="6" t="s">
        <v>65</v>
      </c>
      <c r="F155" s="5">
        <f>VLOOKUP(E155,'PESOS SUBGRUPOS'!B$2:C$193,2,FALSE)</f>
        <v>80</v>
      </c>
      <c r="G155" s="6" t="s">
        <v>159</v>
      </c>
      <c r="H155" s="7" t="s">
        <v>15</v>
      </c>
      <c r="I155" s="5">
        <v>10</v>
      </c>
      <c r="M155" s="5" t="s">
        <v>500</v>
      </c>
    </row>
    <row r="156" spans="1:13" x14ac:dyDescent="0.25">
      <c r="A156" s="4">
        <v>158</v>
      </c>
      <c r="B156" s="5" t="s">
        <v>11</v>
      </c>
      <c r="C156" s="6" t="s">
        <v>41</v>
      </c>
      <c r="D156" s="5">
        <f>VLOOKUP(C156,'PESO GRUPO'!A$1:B$9,2,FALSE)</f>
        <v>20</v>
      </c>
      <c r="E156" s="6" t="s">
        <v>65</v>
      </c>
      <c r="F156" s="5">
        <f>VLOOKUP(E156,'PESOS SUBGRUPOS'!B$2:C$193,2,FALSE)</f>
        <v>80</v>
      </c>
      <c r="G156" s="6" t="s">
        <v>153</v>
      </c>
      <c r="H156" s="7" t="s">
        <v>15</v>
      </c>
      <c r="I156" s="5">
        <v>10</v>
      </c>
      <c r="M156" s="5" t="s">
        <v>500</v>
      </c>
    </row>
    <row r="157" spans="1:13" x14ac:dyDescent="0.25">
      <c r="A157" s="4">
        <v>159</v>
      </c>
      <c r="B157" s="5" t="s">
        <v>11</v>
      </c>
      <c r="C157" s="6" t="s">
        <v>41</v>
      </c>
      <c r="D157" s="5">
        <f>VLOOKUP(C157,'PESO GRUPO'!A$1:B$9,2,FALSE)</f>
        <v>20</v>
      </c>
      <c r="E157" s="6" t="s">
        <v>65</v>
      </c>
      <c r="F157" s="5">
        <f>VLOOKUP(E157,'PESOS SUBGRUPOS'!B$2:C$193,2,FALSE)</f>
        <v>80</v>
      </c>
      <c r="G157" s="6" t="s">
        <v>160</v>
      </c>
      <c r="H157" s="7" t="s">
        <v>15</v>
      </c>
      <c r="I157" s="5">
        <v>40</v>
      </c>
      <c r="M157" s="5" t="s">
        <v>500</v>
      </c>
    </row>
    <row r="158" spans="1:13" x14ac:dyDescent="0.25">
      <c r="A158" s="4">
        <v>160</v>
      </c>
      <c r="B158" s="5" t="s">
        <v>11</v>
      </c>
      <c r="C158" s="6" t="s">
        <v>41</v>
      </c>
      <c r="D158" s="5">
        <f>VLOOKUP(C158,'PESO GRUPO'!A$1:B$9,2,FALSE)</f>
        <v>20</v>
      </c>
      <c r="E158" s="6" t="s">
        <v>65</v>
      </c>
      <c r="F158" s="5">
        <f>VLOOKUP(E158,'PESOS SUBGRUPOS'!B$2:C$193,2,FALSE)</f>
        <v>80</v>
      </c>
      <c r="G158" s="6" t="s">
        <v>434</v>
      </c>
      <c r="H158" s="7" t="s">
        <v>15</v>
      </c>
      <c r="I158" s="5">
        <v>10</v>
      </c>
      <c r="M158" s="5" t="s">
        <v>500</v>
      </c>
    </row>
    <row r="159" spans="1:13" x14ac:dyDescent="0.25">
      <c r="A159" s="4">
        <v>161</v>
      </c>
      <c r="B159" s="5" t="s">
        <v>11</v>
      </c>
      <c r="C159" s="6" t="s">
        <v>41</v>
      </c>
      <c r="D159" s="5">
        <f>VLOOKUP(C159,'PESO GRUPO'!A$1:B$9,2,FALSE)</f>
        <v>20</v>
      </c>
      <c r="E159" s="6" t="s">
        <v>65</v>
      </c>
      <c r="F159" s="5">
        <f>VLOOKUP(E159,'PESOS SUBGRUPOS'!B$2:C$193,2,FALSE)</f>
        <v>80</v>
      </c>
      <c r="G159" s="6" t="s">
        <v>161</v>
      </c>
      <c r="H159" s="7" t="s">
        <v>15</v>
      </c>
      <c r="I159" s="5">
        <v>10</v>
      </c>
      <c r="M159" s="5" t="s">
        <v>500</v>
      </c>
    </row>
    <row r="160" spans="1:13" x14ac:dyDescent="0.25">
      <c r="A160" s="4">
        <v>162</v>
      </c>
      <c r="B160" s="5" t="s">
        <v>11</v>
      </c>
      <c r="C160" s="6" t="s">
        <v>41</v>
      </c>
      <c r="D160" s="5">
        <f>VLOOKUP(C160,'PESO GRUPO'!A$1:B$9,2,FALSE)</f>
        <v>20</v>
      </c>
      <c r="E160" s="6" t="s">
        <v>65</v>
      </c>
      <c r="F160" s="5">
        <f>VLOOKUP(E160,'PESOS SUBGRUPOS'!B$2:C$193,2,FALSE)</f>
        <v>80</v>
      </c>
      <c r="G160" s="6" t="s">
        <v>162</v>
      </c>
      <c r="H160" s="7" t="s">
        <v>15</v>
      </c>
      <c r="I160" s="5">
        <v>10</v>
      </c>
      <c r="M160" s="5" t="s">
        <v>500</v>
      </c>
    </row>
    <row r="161" spans="1:13" x14ac:dyDescent="0.25">
      <c r="A161" s="4">
        <v>163</v>
      </c>
      <c r="B161" s="5" t="s">
        <v>11</v>
      </c>
      <c r="C161" s="6" t="s">
        <v>41</v>
      </c>
      <c r="D161" s="5">
        <f>VLOOKUP(C161,'PESO GRUPO'!A$1:B$9,2,FALSE)</f>
        <v>20</v>
      </c>
      <c r="E161" s="6" t="s">
        <v>65</v>
      </c>
      <c r="F161" s="5">
        <f>VLOOKUP(E161,'PESOS SUBGRUPOS'!B$2:C$193,2,FALSE)</f>
        <v>80</v>
      </c>
      <c r="G161" s="6" t="s">
        <v>163</v>
      </c>
      <c r="H161" s="7" t="s">
        <v>15</v>
      </c>
      <c r="I161" s="5">
        <v>10</v>
      </c>
      <c r="M161" s="5" t="s">
        <v>500</v>
      </c>
    </row>
    <row r="162" spans="1:13" x14ac:dyDescent="0.25">
      <c r="A162" s="4">
        <v>164</v>
      </c>
      <c r="B162" s="5" t="s">
        <v>11</v>
      </c>
      <c r="C162" s="6" t="s">
        <v>41</v>
      </c>
      <c r="D162" s="5">
        <f>VLOOKUP(C162,'PESO GRUPO'!A$1:B$9,2,FALSE)</f>
        <v>20</v>
      </c>
      <c r="E162" s="6" t="s">
        <v>65</v>
      </c>
      <c r="F162" s="5">
        <f>VLOOKUP(E162,'PESOS SUBGRUPOS'!B$2:C$193,2,FALSE)</f>
        <v>80</v>
      </c>
      <c r="G162" s="6" t="s">
        <v>164</v>
      </c>
      <c r="H162" s="7" t="s">
        <v>15</v>
      </c>
      <c r="I162" s="5">
        <v>10</v>
      </c>
      <c r="M162" s="5" t="s">
        <v>500</v>
      </c>
    </row>
    <row r="163" spans="1:13" x14ac:dyDescent="0.25">
      <c r="A163" s="4">
        <v>165</v>
      </c>
      <c r="B163" s="5" t="s">
        <v>11</v>
      </c>
      <c r="C163" s="6" t="s">
        <v>41</v>
      </c>
      <c r="D163" s="5">
        <f>VLOOKUP(C163,'PESO GRUPO'!A$1:B$9,2,FALSE)</f>
        <v>20</v>
      </c>
      <c r="E163" s="6" t="s">
        <v>65</v>
      </c>
      <c r="F163" s="5">
        <f>VLOOKUP(E163,'PESOS SUBGRUPOS'!B$2:C$193,2,FALSE)</f>
        <v>80</v>
      </c>
      <c r="G163" s="6" t="s">
        <v>165</v>
      </c>
      <c r="H163" s="7" t="s">
        <v>15</v>
      </c>
      <c r="I163" s="5">
        <v>10</v>
      </c>
      <c r="M163" s="5" t="s">
        <v>500</v>
      </c>
    </row>
    <row r="164" spans="1:13" x14ac:dyDescent="0.25">
      <c r="A164" s="4">
        <v>166</v>
      </c>
      <c r="B164" s="5" t="s">
        <v>11</v>
      </c>
      <c r="C164" s="6" t="s">
        <v>41</v>
      </c>
      <c r="D164" s="5">
        <f>VLOOKUP(C164,'PESO GRUPO'!A$1:B$9,2,FALSE)</f>
        <v>20</v>
      </c>
      <c r="E164" s="6" t="s">
        <v>65</v>
      </c>
      <c r="F164" s="5">
        <f>VLOOKUP(E164,'PESOS SUBGRUPOS'!B$2:C$193,2,FALSE)</f>
        <v>80</v>
      </c>
      <c r="G164" s="6" t="s">
        <v>166</v>
      </c>
      <c r="H164" s="7" t="s">
        <v>15</v>
      </c>
      <c r="I164" s="5">
        <v>10</v>
      </c>
      <c r="M164" s="5" t="s">
        <v>500</v>
      </c>
    </row>
    <row r="165" spans="1:13" x14ac:dyDescent="0.25">
      <c r="A165" s="4">
        <v>167</v>
      </c>
      <c r="B165" s="5" t="s">
        <v>11</v>
      </c>
      <c r="C165" s="6" t="s">
        <v>41</v>
      </c>
      <c r="D165" s="5">
        <f>VLOOKUP(C165,'PESO GRUPO'!A$1:B$9,2,FALSE)</f>
        <v>20</v>
      </c>
      <c r="E165" s="6" t="s">
        <v>65</v>
      </c>
      <c r="F165" s="5">
        <f>VLOOKUP(E165,'PESOS SUBGRUPOS'!B$2:C$193,2,FALSE)</f>
        <v>80</v>
      </c>
      <c r="G165" s="6" t="s">
        <v>167</v>
      </c>
      <c r="H165" s="7" t="s">
        <v>15</v>
      </c>
      <c r="I165" s="5">
        <v>10</v>
      </c>
      <c r="M165" s="5" t="s">
        <v>500</v>
      </c>
    </row>
    <row r="166" spans="1:13" x14ac:dyDescent="0.25">
      <c r="A166" s="4">
        <v>168</v>
      </c>
      <c r="B166" s="5" t="s">
        <v>11</v>
      </c>
      <c r="C166" s="6" t="s">
        <v>41</v>
      </c>
      <c r="D166" s="5">
        <f>VLOOKUP(C166,'PESO GRUPO'!A$1:B$9,2,FALSE)</f>
        <v>20</v>
      </c>
      <c r="E166" s="6" t="s">
        <v>65</v>
      </c>
      <c r="F166" s="5">
        <f>VLOOKUP(E166,'PESOS SUBGRUPOS'!B$2:C$193,2,FALSE)</f>
        <v>80</v>
      </c>
      <c r="G166" s="6" t="s">
        <v>168</v>
      </c>
      <c r="H166" s="7" t="s">
        <v>15</v>
      </c>
      <c r="I166" s="5">
        <v>10</v>
      </c>
      <c r="M166" s="5" t="s">
        <v>500</v>
      </c>
    </row>
    <row r="167" spans="1:13" x14ac:dyDescent="0.25">
      <c r="A167" s="4">
        <v>169</v>
      </c>
      <c r="B167" s="5" t="s">
        <v>11</v>
      </c>
      <c r="C167" s="6" t="s">
        <v>41</v>
      </c>
      <c r="D167" s="5">
        <f>VLOOKUP(C167,'PESO GRUPO'!A$1:B$9,2,FALSE)</f>
        <v>20</v>
      </c>
      <c r="E167" s="6" t="s">
        <v>169</v>
      </c>
      <c r="F167" s="5">
        <f>VLOOKUP(E167,'PESOS SUBGRUPOS'!B$2:C$193,2,FALSE)</f>
        <v>100</v>
      </c>
      <c r="G167" s="6" t="s">
        <v>170</v>
      </c>
      <c r="H167" s="7" t="s">
        <v>15</v>
      </c>
      <c r="I167" s="5">
        <v>10</v>
      </c>
      <c r="M167" s="5" t="s">
        <v>500</v>
      </c>
    </row>
    <row r="168" spans="1:13" x14ac:dyDescent="0.25">
      <c r="A168" s="4">
        <v>170</v>
      </c>
      <c r="B168" s="5" t="s">
        <v>11</v>
      </c>
      <c r="C168" s="6" t="s">
        <v>41</v>
      </c>
      <c r="D168" s="5">
        <f>VLOOKUP(C168,'PESO GRUPO'!A$1:B$9,2,FALSE)</f>
        <v>20</v>
      </c>
      <c r="E168" s="6" t="s">
        <v>169</v>
      </c>
      <c r="F168" s="5">
        <f>VLOOKUP(E168,'PESOS SUBGRUPOS'!B$2:C$193,2,FALSE)</f>
        <v>100</v>
      </c>
      <c r="G168" s="6" t="s">
        <v>171</v>
      </c>
      <c r="H168" s="7" t="s">
        <v>15</v>
      </c>
      <c r="I168" s="5">
        <v>80</v>
      </c>
      <c r="M168" s="5" t="s">
        <v>500</v>
      </c>
    </row>
    <row r="169" spans="1:13" x14ac:dyDescent="0.25">
      <c r="A169" s="4">
        <v>171</v>
      </c>
      <c r="B169" s="5" t="s">
        <v>11</v>
      </c>
      <c r="C169" s="6" t="s">
        <v>41</v>
      </c>
      <c r="D169" s="5">
        <f>VLOOKUP(C169,'PESO GRUPO'!A$1:B$9,2,FALSE)</f>
        <v>20</v>
      </c>
      <c r="E169" s="6" t="s">
        <v>169</v>
      </c>
      <c r="F169" s="5">
        <f>VLOOKUP(E169,'PESOS SUBGRUPOS'!B$2:C$193,2,FALSE)</f>
        <v>100</v>
      </c>
      <c r="G169" s="6" t="s">
        <v>172</v>
      </c>
      <c r="H169" s="7" t="s">
        <v>15</v>
      </c>
      <c r="I169" s="5">
        <v>10</v>
      </c>
      <c r="M169" s="5" t="s">
        <v>500</v>
      </c>
    </row>
    <row r="170" spans="1:13" x14ac:dyDescent="0.25">
      <c r="A170" s="4">
        <v>172</v>
      </c>
      <c r="B170" s="5" t="s">
        <v>11</v>
      </c>
      <c r="C170" s="6" t="s">
        <v>41</v>
      </c>
      <c r="D170" s="5">
        <f>VLOOKUP(C170,'PESO GRUPO'!A$1:B$9,2,FALSE)</f>
        <v>20</v>
      </c>
      <c r="E170" s="6" t="s">
        <v>169</v>
      </c>
      <c r="F170" s="5">
        <f>VLOOKUP(E170,'PESOS SUBGRUPOS'!B$2:C$193,2,FALSE)</f>
        <v>100</v>
      </c>
      <c r="G170" s="6" t="s">
        <v>173</v>
      </c>
      <c r="H170" s="7" t="s">
        <v>15</v>
      </c>
      <c r="I170" s="5">
        <v>10</v>
      </c>
      <c r="M170" s="5" t="s">
        <v>500</v>
      </c>
    </row>
    <row r="171" spans="1:13" x14ac:dyDescent="0.25">
      <c r="A171" s="4">
        <v>173</v>
      </c>
      <c r="B171" s="5" t="s">
        <v>11</v>
      </c>
      <c r="C171" s="6" t="s">
        <v>41</v>
      </c>
      <c r="D171" s="5">
        <f>VLOOKUP(C171,'PESO GRUPO'!A$1:B$9,2,FALSE)</f>
        <v>20</v>
      </c>
      <c r="E171" s="9" t="s">
        <v>174</v>
      </c>
      <c r="F171" s="5">
        <f>VLOOKUP(E171,'PESOS SUBGRUPOS'!B$2:C$193,2,FALSE)</f>
        <v>100</v>
      </c>
      <c r="G171" s="6" t="s">
        <v>170</v>
      </c>
      <c r="H171" s="7" t="s">
        <v>15</v>
      </c>
      <c r="I171" s="5">
        <v>10</v>
      </c>
      <c r="M171" s="5" t="s">
        <v>500</v>
      </c>
    </row>
    <row r="172" spans="1:13" x14ac:dyDescent="0.25">
      <c r="A172" s="4">
        <v>174</v>
      </c>
      <c r="B172" s="5" t="s">
        <v>11</v>
      </c>
      <c r="C172" s="6" t="s">
        <v>41</v>
      </c>
      <c r="D172" s="5">
        <f>VLOOKUP(C172,'PESO GRUPO'!A$1:B$9,2,FALSE)</f>
        <v>20</v>
      </c>
      <c r="E172" s="9" t="s">
        <v>174</v>
      </c>
      <c r="F172" s="5">
        <f>VLOOKUP(E172,'PESOS SUBGRUPOS'!B$2:C$193,2,FALSE)</f>
        <v>100</v>
      </c>
      <c r="G172" s="6" t="s">
        <v>171</v>
      </c>
      <c r="H172" s="7" t="s">
        <v>15</v>
      </c>
      <c r="I172" s="5">
        <v>80</v>
      </c>
      <c r="M172" s="5" t="s">
        <v>500</v>
      </c>
    </row>
    <row r="173" spans="1:13" x14ac:dyDescent="0.25">
      <c r="A173" s="4">
        <v>175</v>
      </c>
      <c r="B173" s="5" t="s">
        <v>11</v>
      </c>
      <c r="C173" s="6" t="s">
        <v>41</v>
      </c>
      <c r="D173" s="5">
        <f>VLOOKUP(C173,'PESO GRUPO'!A$1:B$9,2,FALSE)</f>
        <v>20</v>
      </c>
      <c r="E173" s="9" t="s">
        <v>174</v>
      </c>
      <c r="F173" s="5">
        <f>VLOOKUP(E173,'PESOS SUBGRUPOS'!B$2:C$193,2,FALSE)</f>
        <v>100</v>
      </c>
      <c r="G173" s="6" t="s">
        <v>172</v>
      </c>
      <c r="H173" s="7" t="s">
        <v>15</v>
      </c>
      <c r="I173" s="5">
        <v>10</v>
      </c>
      <c r="M173" s="5" t="s">
        <v>500</v>
      </c>
    </row>
    <row r="174" spans="1:13" x14ac:dyDescent="0.25">
      <c r="A174" s="4">
        <v>176</v>
      </c>
      <c r="B174" s="5" t="s">
        <v>11</v>
      </c>
      <c r="C174" s="6" t="s">
        <v>41</v>
      </c>
      <c r="D174" s="5">
        <f>VLOOKUP(C174,'PESO GRUPO'!A$1:B$9,2,FALSE)</f>
        <v>20</v>
      </c>
      <c r="E174" s="6" t="s">
        <v>175</v>
      </c>
      <c r="F174" s="5">
        <f>VLOOKUP(E174,'PESOS SUBGRUPOS'!B$2:C$193,2,FALSE)</f>
        <v>100</v>
      </c>
      <c r="G174" s="6" t="s">
        <v>176</v>
      </c>
      <c r="H174" s="7" t="s">
        <v>15</v>
      </c>
      <c r="I174" s="5">
        <v>40</v>
      </c>
      <c r="M174" s="5" t="s">
        <v>500</v>
      </c>
    </row>
    <row r="175" spans="1:13" x14ac:dyDescent="0.25">
      <c r="A175" s="4">
        <v>177</v>
      </c>
      <c r="B175" s="5" t="s">
        <v>11</v>
      </c>
      <c r="C175" s="6" t="s">
        <v>41</v>
      </c>
      <c r="D175" s="5">
        <f>VLOOKUP(C175,'PESO GRUPO'!A$1:B$9,2,FALSE)</f>
        <v>20</v>
      </c>
      <c r="E175" s="6" t="s">
        <v>175</v>
      </c>
      <c r="F175" s="5">
        <f>VLOOKUP(E175,'PESOS SUBGRUPOS'!B$2:C$193,2,FALSE)</f>
        <v>100</v>
      </c>
      <c r="G175" s="6" t="s">
        <v>177</v>
      </c>
      <c r="H175" s="7" t="s">
        <v>15</v>
      </c>
      <c r="I175" s="5">
        <v>20</v>
      </c>
      <c r="M175" s="5" t="s">
        <v>500</v>
      </c>
    </row>
    <row r="176" spans="1:13" x14ac:dyDescent="0.25">
      <c r="A176" s="4">
        <v>178</v>
      </c>
      <c r="B176" s="5" t="s">
        <v>11</v>
      </c>
      <c r="C176" s="6" t="s">
        <v>41</v>
      </c>
      <c r="D176" s="5">
        <f>VLOOKUP(C176,'PESO GRUPO'!A$1:B$9,2,FALSE)</f>
        <v>20</v>
      </c>
      <c r="E176" s="6" t="s">
        <v>175</v>
      </c>
      <c r="F176" s="5">
        <f>VLOOKUP(E176,'PESOS SUBGRUPOS'!B$2:C$193,2,FALSE)</f>
        <v>100</v>
      </c>
      <c r="G176" s="6" t="s">
        <v>178</v>
      </c>
      <c r="H176" s="7" t="s">
        <v>15</v>
      </c>
      <c r="I176" s="5">
        <v>20</v>
      </c>
      <c r="M176" s="5" t="s">
        <v>500</v>
      </c>
    </row>
    <row r="177" spans="1:13" x14ac:dyDescent="0.25">
      <c r="A177" s="4">
        <v>179</v>
      </c>
      <c r="B177" s="5" t="s">
        <v>11</v>
      </c>
      <c r="C177" s="6" t="s">
        <v>41</v>
      </c>
      <c r="D177" s="5">
        <f>VLOOKUP(C177,'PESO GRUPO'!A$1:B$9,2,FALSE)</f>
        <v>20</v>
      </c>
      <c r="E177" s="6" t="s">
        <v>175</v>
      </c>
      <c r="F177" s="5">
        <f>VLOOKUP(E177,'PESOS SUBGRUPOS'!B$2:C$193,2,FALSE)</f>
        <v>100</v>
      </c>
      <c r="G177" s="6" t="s">
        <v>179</v>
      </c>
      <c r="H177" s="7" t="s">
        <v>15</v>
      </c>
      <c r="I177" s="5">
        <v>20</v>
      </c>
      <c r="M177" s="5" t="s">
        <v>500</v>
      </c>
    </row>
    <row r="178" spans="1:13" x14ac:dyDescent="0.25">
      <c r="A178" s="4">
        <v>180</v>
      </c>
      <c r="B178" s="5" t="s">
        <v>11</v>
      </c>
      <c r="C178" s="6" t="s">
        <v>41</v>
      </c>
      <c r="D178" s="5">
        <f>VLOOKUP(C178,'PESO GRUPO'!A$1:B$9,2,FALSE)</f>
        <v>20</v>
      </c>
      <c r="E178" s="6" t="s">
        <v>175</v>
      </c>
      <c r="F178" s="5">
        <f>VLOOKUP(E178,'PESOS SUBGRUPOS'!B$2:C$193,2,FALSE)</f>
        <v>100</v>
      </c>
      <c r="G178" s="6" t="s">
        <v>180</v>
      </c>
      <c r="H178" s="7" t="s">
        <v>15</v>
      </c>
      <c r="I178" s="5">
        <v>20</v>
      </c>
      <c r="M178" s="5" t="s">
        <v>500</v>
      </c>
    </row>
    <row r="179" spans="1:13" x14ac:dyDescent="0.25">
      <c r="A179" s="4">
        <v>181</v>
      </c>
      <c r="B179" s="5" t="s">
        <v>11</v>
      </c>
      <c r="C179" s="6" t="s">
        <v>41</v>
      </c>
      <c r="D179" s="5">
        <f>VLOOKUP(C179,'PESO GRUPO'!A$1:B$9,2,FALSE)</f>
        <v>20</v>
      </c>
      <c r="E179" s="6" t="s">
        <v>175</v>
      </c>
      <c r="F179" s="5">
        <f>VLOOKUP(E179,'PESOS SUBGRUPOS'!B$2:C$193,2,FALSE)</f>
        <v>100</v>
      </c>
      <c r="G179" s="6" t="s">
        <v>181</v>
      </c>
      <c r="H179" s="7" t="s">
        <v>15</v>
      </c>
      <c r="I179" s="5">
        <v>20</v>
      </c>
      <c r="M179" s="5" t="s">
        <v>500</v>
      </c>
    </row>
    <row r="180" spans="1:13" x14ac:dyDescent="0.25">
      <c r="A180" s="4">
        <v>182</v>
      </c>
      <c r="B180" s="5" t="s">
        <v>11</v>
      </c>
      <c r="C180" s="6" t="s">
        <v>41</v>
      </c>
      <c r="D180" s="5">
        <f>VLOOKUP(C180,'PESO GRUPO'!A$1:B$9,2,FALSE)</f>
        <v>20</v>
      </c>
      <c r="E180" s="6" t="s">
        <v>182</v>
      </c>
      <c r="F180" s="5">
        <f>VLOOKUP(E180,'PESOS SUBGRUPOS'!B$2:C$193,2,FALSE)</f>
        <v>60</v>
      </c>
      <c r="G180" s="6" t="s">
        <v>183</v>
      </c>
      <c r="H180" s="7" t="s">
        <v>15</v>
      </c>
      <c r="I180" s="5">
        <v>10</v>
      </c>
      <c r="M180" s="5" t="s">
        <v>500</v>
      </c>
    </row>
    <row r="181" spans="1:13" x14ac:dyDescent="0.25">
      <c r="A181" s="4">
        <v>183</v>
      </c>
      <c r="B181" s="5" t="s">
        <v>11</v>
      </c>
      <c r="C181" s="6" t="s">
        <v>41</v>
      </c>
      <c r="D181" s="5">
        <f>VLOOKUP(C181,'PESO GRUPO'!A$1:B$9,2,FALSE)</f>
        <v>20</v>
      </c>
      <c r="E181" s="6" t="s">
        <v>182</v>
      </c>
      <c r="F181" s="5">
        <f>VLOOKUP(E181,'PESOS SUBGRUPOS'!B$2:C$193,2,FALSE)</f>
        <v>60</v>
      </c>
      <c r="G181" s="6" t="s">
        <v>184</v>
      </c>
      <c r="H181" s="7" t="s">
        <v>15</v>
      </c>
      <c r="I181" s="5">
        <v>10</v>
      </c>
      <c r="M181" s="5" t="s">
        <v>500</v>
      </c>
    </row>
    <row r="182" spans="1:13" x14ac:dyDescent="0.25">
      <c r="A182" s="4">
        <v>184</v>
      </c>
      <c r="B182" s="5" t="s">
        <v>11</v>
      </c>
      <c r="C182" s="6" t="s">
        <v>41</v>
      </c>
      <c r="D182" s="5">
        <f>VLOOKUP(C182,'PESO GRUPO'!A$1:B$9,2,FALSE)</f>
        <v>20</v>
      </c>
      <c r="E182" s="6" t="s">
        <v>182</v>
      </c>
      <c r="F182" s="5">
        <f>VLOOKUP(E182,'PESOS SUBGRUPOS'!B$2:C$193,2,FALSE)</f>
        <v>60</v>
      </c>
      <c r="G182" s="6" t="s">
        <v>185</v>
      </c>
      <c r="H182" s="7" t="s">
        <v>15</v>
      </c>
      <c r="I182" s="5">
        <v>10</v>
      </c>
      <c r="M182" s="5" t="s">
        <v>500</v>
      </c>
    </row>
    <row r="183" spans="1:13" x14ac:dyDescent="0.25">
      <c r="A183" s="4">
        <v>185</v>
      </c>
      <c r="B183" s="5" t="s">
        <v>11</v>
      </c>
      <c r="C183" s="6" t="s">
        <v>41</v>
      </c>
      <c r="D183" s="5">
        <f>VLOOKUP(C183,'PESO GRUPO'!A$1:B$9,2,FALSE)</f>
        <v>20</v>
      </c>
      <c r="E183" s="6" t="s">
        <v>186</v>
      </c>
      <c r="F183" s="5">
        <f>VLOOKUP(E183,'PESOS SUBGRUPOS'!B$2:C$193,2,FALSE)</f>
        <v>60</v>
      </c>
      <c r="G183" s="6" t="s">
        <v>187</v>
      </c>
      <c r="H183" s="7" t="s">
        <v>15</v>
      </c>
      <c r="I183" s="5">
        <v>10</v>
      </c>
      <c r="M183" s="5" t="s">
        <v>500</v>
      </c>
    </row>
    <row r="184" spans="1:13" x14ac:dyDescent="0.25">
      <c r="A184" s="4">
        <v>186</v>
      </c>
      <c r="B184" s="5" t="s">
        <v>11</v>
      </c>
      <c r="C184" s="6" t="s">
        <v>41</v>
      </c>
      <c r="D184" s="5">
        <f>VLOOKUP(C184,'PESO GRUPO'!A$1:B$9,2,FALSE)</f>
        <v>20</v>
      </c>
      <c r="E184" s="6" t="s">
        <v>186</v>
      </c>
      <c r="F184" s="5">
        <f>VLOOKUP(E184,'PESOS SUBGRUPOS'!B$2:C$193,2,FALSE)</f>
        <v>60</v>
      </c>
      <c r="G184" s="6" t="s">
        <v>188</v>
      </c>
      <c r="H184" s="7" t="s">
        <v>15</v>
      </c>
      <c r="I184" s="5">
        <v>10</v>
      </c>
      <c r="M184" s="5" t="s">
        <v>500</v>
      </c>
    </row>
    <row r="185" spans="1:13" x14ac:dyDescent="0.25">
      <c r="A185" s="4">
        <v>187</v>
      </c>
      <c r="B185" s="5" t="s">
        <v>11</v>
      </c>
      <c r="C185" s="6" t="s">
        <v>41</v>
      </c>
      <c r="D185" s="5">
        <f>VLOOKUP(C185,'PESO GRUPO'!A$1:B$9,2,FALSE)</f>
        <v>20</v>
      </c>
      <c r="E185" s="6" t="s">
        <v>186</v>
      </c>
      <c r="F185" s="5">
        <f>VLOOKUP(E185,'PESOS SUBGRUPOS'!B$2:C$193,2,FALSE)</f>
        <v>60</v>
      </c>
      <c r="G185" s="6" t="s">
        <v>189</v>
      </c>
      <c r="H185" s="7" t="s">
        <v>15</v>
      </c>
      <c r="I185" s="5">
        <v>10</v>
      </c>
      <c r="M185" s="5" t="s">
        <v>500</v>
      </c>
    </row>
    <row r="186" spans="1:13" x14ac:dyDescent="0.25">
      <c r="A186" s="4">
        <v>188</v>
      </c>
      <c r="B186" s="5" t="s">
        <v>11</v>
      </c>
      <c r="C186" s="6" t="s">
        <v>41</v>
      </c>
      <c r="D186" s="5">
        <f>VLOOKUP(C186,'PESO GRUPO'!A$1:B$9,2,FALSE)</f>
        <v>20</v>
      </c>
      <c r="E186" s="6" t="s">
        <v>186</v>
      </c>
      <c r="F186" s="5">
        <f>VLOOKUP(E186,'PESOS SUBGRUPOS'!B$2:C$193,2,FALSE)</f>
        <v>60</v>
      </c>
      <c r="G186" s="6" t="s">
        <v>190</v>
      </c>
      <c r="H186" s="7" t="s">
        <v>15</v>
      </c>
      <c r="I186" s="5">
        <v>10</v>
      </c>
      <c r="M186" s="5" t="s">
        <v>500</v>
      </c>
    </row>
    <row r="187" spans="1:13" x14ac:dyDescent="0.25">
      <c r="A187" s="4">
        <v>189</v>
      </c>
      <c r="B187" s="5" t="s">
        <v>11</v>
      </c>
      <c r="C187" s="6" t="s">
        <v>41</v>
      </c>
      <c r="D187" s="5">
        <f>VLOOKUP(C187,'PESO GRUPO'!A$1:B$9,2,FALSE)</f>
        <v>20</v>
      </c>
      <c r="E187" s="6" t="s">
        <v>454</v>
      </c>
      <c r="F187" s="5">
        <f>VLOOKUP(E187,'PESOS SUBGRUPOS'!B$2:C$193,2,FALSE)</f>
        <v>80</v>
      </c>
      <c r="G187" s="6" t="s">
        <v>191</v>
      </c>
      <c r="H187" s="7" t="s">
        <v>15</v>
      </c>
      <c r="I187" s="5">
        <v>20</v>
      </c>
      <c r="M187" s="5" t="s">
        <v>500</v>
      </c>
    </row>
    <row r="188" spans="1:13" x14ac:dyDescent="0.25">
      <c r="A188" s="4">
        <v>190</v>
      </c>
      <c r="B188" s="5" t="s">
        <v>11</v>
      </c>
      <c r="C188" s="6" t="s">
        <v>41</v>
      </c>
      <c r="D188" s="5">
        <f>VLOOKUP(C188,'PESO GRUPO'!A$1:B$9,2,FALSE)</f>
        <v>20</v>
      </c>
      <c r="E188" s="6" t="s">
        <v>454</v>
      </c>
      <c r="F188" s="5">
        <f>VLOOKUP(E188,'PESOS SUBGRUPOS'!B$2:C$193,2,FALSE)</f>
        <v>80</v>
      </c>
      <c r="G188" s="6" t="s">
        <v>192</v>
      </c>
      <c r="H188" s="7" t="s">
        <v>15</v>
      </c>
      <c r="I188" s="5">
        <v>10</v>
      </c>
      <c r="M188" s="5" t="s">
        <v>500</v>
      </c>
    </row>
    <row r="189" spans="1:13" x14ac:dyDescent="0.25">
      <c r="A189" s="4">
        <v>191</v>
      </c>
      <c r="B189" s="5" t="s">
        <v>11</v>
      </c>
      <c r="C189" s="6" t="s">
        <v>41</v>
      </c>
      <c r="D189" s="5">
        <f>VLOOKUP(C189,'PESO GRUPO'!A$1:B$9,2,FALSE)</f>
        <v>20</v>
      </c>
      <c r="E189" s="6" t="s">
        <v>454</v>
      </c>
      <c r="F189" s="5">
        <f>VLOOKUP(E189,'PESOS SUBGRUPOS'!B$2:C$193,2,FALSE)</f>
        <v>80</v>
      </c>
      <c r="G189" s="6" t="s">
        <v>193</v>
      </c>
      <c r="H189" s="7" t="s">
        <v>15</v>
      </c>
      <c r="I189" s="5">
        <v>10</v>
      </c>
      <c r="M189" s="5" t="s">
        <v>500</v>
      </c>
    </row>
    <row r="190" spans="1:13" x14ac:dyDescent="0.25">
      <c r="A190" s="4">
        <v>192</v>
      </c>
      <c r="B190" s="5" t="s">
        <v>11</v>
      </c>
      <c r="C190" s="6" t="s">
        <v>41</v>
      </c>
      <c r="D190" s="5">
        <f>VLOOKUP(C190,'PESO GRUPO'!A$1:B$9,2,FALSE)</f>
        <v>20</v>
      </c>
      <c r="E190" s="6" t="s">
        <v>454</v>
      </c>
      <c r="F190" s="5">
        <f>VLOOKUP(E190,'PESOS SUBGRUPOS'!B$2:C$193,2,FALSE)</f>
        <v>80</v>
      </c>
      <c r="G190" s="6" t="s">
        <v>194</v>
      </c>
      <c r="H190" s="7" t="s">
        <v>15</v>
      </c>
      <c r="I190" s="5">
        <v>10</v>
      </c>
      <c r="M190" s="5" t="s">
        <v>500</v>
      </c>
    </row>
    <row r="191" spans="1:13" x14ac:dyDescent="0.25">
      <c r="A191" s="4">
        <v>193</v>
      </c>
      <c r="B191" s="5" t="s">
        <v>11</v>
      </c>
      <c r="C191" s="6" t="s">
        <v>41</v>
      </c>
      <c r="D191" s="5">
        <f>VLOOKUP(C191,'PESO GRUPO'!A$1:B$9,2,FALSE)</f>
        <v>20</v>
      </c>
      <c r="E191" s="6" t="s">
        <v>454</v>
      </c>
      <c r="F191" s="5">
        <f>VLOOKUP(E191,'PESOS SUBGRUPOS'!B$2:C$193,2,FALSE)</f>
        <v>80</v>
      </c>
      <c r="G191" s="6" t="s">
        <v>195</v>
      </c>
      <c r="H191" s="7" t="s">
        <v>15</v>
      </c>
      <c r="I191" s="5">
        <v>40</v>
      </c>
      <c r="M191" s="5" t="s">
        <v>500</v>
      </c>
    </row>
    <row r="192" spans="1:13" x14ac:dyDescent="0.25">
      <c r="A192" s="4">
        <v>194</v>
      </c>
      <c r="B192" s="5" t="s">
        <v>11</v>
      </c>
      <c r="C192" s="6" t="s">
        <v>41</v>
      </c>
      <c r="D192" s="5">
        <f>VLOOKUP(C192,'PESO GRUPO'!A$1:B$9,2,FALSE)</f>
        <v>20</v>
      </c>
      <c r="E192" s="6" t="s">
        <v>454</v>
      </c>
      <c r="F192" s="5">
        <f>VLOOKUP(E192,'PESOS SUBGRUPOS'!B$2:C$193,2,FALSE)</f>
        <v>80</v>
      </c>
      <c r="G192" s="6" t="s">
        <v>196</v>
      </c>
      <c r="H192" s="7" t="s">
        <v>15</v>
      </c>
      <c r="I192" s="5">
        <v>30</v>
      </c>
      <c r="M192" s="5" t="s">
        <v>500</v>
      </c>
    </row>
    <row r="193" spans="1:13" x14ac:dyDescent="0.25">
      <c r="A193" s="4">
        <v>195</v>
      </c>
      <c r="B193" s="5" t="s">
        <v>11</v>
      </c>
      <c r="C193" s="6" t="s">
        <v>41</v>
      </c>
      <c r="D193" s="5">
        <f>VLOOKUP(C193,'PESO GRUPO'!A$1:B$9,2,FALSE)</f>
        <v>20</v>
      </c>
      <c r="E193" s="6" t="s">
        <v>454</v>
      </c>
      <c r="F193" s="5">
        <f>VLOOKUP(E193,'PESOS SUBGRUPOS'!B$2:C$193,2,FALSE)</f>
        <v>80</v>
      </c>
      <c r="G193" s="6" t="s">
        <v>197</v>
      </c>
      <c r="H193" s="7" t="s">
        <v>15</v>
      </c>
      <c r="I193" s="5">
        <v>10</v>
      </c>
      <c r="M193" s="5" t="s">
        <v>500</v>
      </c>
    </row>
    <row r="194" spans="1:13" x14ac:dyDescent="0.25">
      <c r="A194" s="4">
        <v>196</v>
      </c>
      <c r="B194" s="5" t="s">
        <v>11</v>
      </c>
      <c r="C194" s="6" t="s">
        <v>41</v>
      </c>
      <c r="D194" s="5">
        <f>VLOOKUP(C194,'PESO GRUPO'!A$1:B$9,2,FALSE)</f>
        <v>20</v>
      </c>
      <c r="E194" s="6" t="s">
        <v>454</v>
      </c>
      <c r="F194" s="5">
        <f>VLOOKUP(E194,'PESOS SUBGRUPOS'!B$2:C$193,2,FALSE)</f>
        <v>80</v>
      </c>
      <c r="G194" s="6" t="s">
        <v>198</v>
      </c>
      <c r="H194" s="7" t="s">
        <v>15</v>
      </c>
      <c r="I194" s="5">
        <v>40</v>
      </c>
      <c r="M194" s="5" t="s">
        <v>500</v>
      </c>
    </row>
    <row r="195" spans="1:13" x14ac:dyDescent="0.25">
      <c r="A195" s="4">
        <v>197</v>
      </c>
      <c r="B195" s="5" t="s">
        <v>11</v>
      </c>
      <c r="C195" s="6" t="s">
        <v>41</v>
      </c>
      <c r="D195" s="5">
        <f>VLOOKUP(C195,'PESO GRUPO'!A$1:B$9,2,FALSE)</f>
        <v>20</v>
      </c>
      <c r="E195" s="6" t="s">
        <v>454</v>
      </c>
      <c r="F195" s="5">
        <f>VLOOKUP(E195,'PESOS SUBGRUPOS'!B$2:C$193,2,FALSE)</f>
        <v>80</v>
      </c>
      <c r="G195" s="6" t="s">
        <v>199</v>
      </c>
      <c r="H195" s="7" t="s">
        <v>15</v>
      </c>
      <c r="I195" s="5">
        <v>10</v>
      </c>
      <c r="M195" s="5" t="s">
        <v>500</v>
      </c>
    </row>
    <row r="196" spans="1:13" x14ac:dyDescent="0.25">
      <c r="A196" s="4">
        <v>198</v>
      </c>
      <c r="B196" s="5" t="s">
        <v>11</v>
      </c>
      <c r="C196" s="6" t="s">
        <v>41</v>
      </c>
      <c r="D196" s="5">
        <f>VLOOKUP(C196,'PESO GRUPO'!A$1:B$9,2,FALSE)</f>
        <v>20</v>
      </c>
      <c r="E196" s="6" t="s">
        <v>200</v>
      </c>
      <c r="F196" s="5">
        <f>VLOOKUP(E196,'PESOS SUBGRUPOS'!B$2:C$193,2,FALSE)</f>
        <v>60</v>
      </c>
      <c r="G196" s="6" t="s">
        <v>201</v>
      </c>
      <c r="H196" s="7" t="s">
        <v>15</v>
      </c>
      <c r="I196" s="5">
        <v>30</v>
      </c>
      <c r="M196" s="5" t="s">
        <v>500</v>
      </c>
    </row>
    <row r="197" spans="1:13" x14ac:dyDescent="0.25">
      <c r="A197" s="4">
        <v>199</v>
      </c>
      <c r="B197" s="5" t="s">
        <v>11</v>
      </c>
      <c r="C197" s="6" t="s">
        <v>41</v>
      </c>
      <c r="D197" s="5">
        <f>VLOOKUP(C197,'PESO GRUPO'!A$1:B$9,2,FALSE)</f>
        <v>20</v>
      </c>
      <c r="E197" s="6" t="s">
        <v>200</v>
      </c>
      <c r="F197" s="5">
        <f>VLOOKUP(E197,'PESOS SUBGRUPOS'!B$2:C$193,2,FALSE)</f>
        <v>60</v>
      </c>
      <c r="G197" s="6" t="s">
        <v>202</v>
      </c>
      <c r="H197" s="7" t="s">
        <v>15</v>
      </c>
      <c r="I197" s="5">
        <v>30</v>
      </c>
      <c r="M197" s="5" t="s">
        <v>500</v>
      </c>
    </row>
    <row r="198" spans="1:13" x14ac:dyDescent="0.25">
      <c r="A198" s="4">
        <v>200</v>
      </c>
      <c r="B198" s="5" t="s">
        <v>11</v>
      </c>
      <c r="C198" s="6" t="s">
        <v>41</v>
      </c>
      <c r="D198" s="5">
        <f>VLOOKUP(C198,'PESO GRUPO'!A$1:B$9,2,FALSE)</f>
        <v>20</v>
      </c>
      <c r="E198" s="6" t="s">
        <v>200</v>
      </c>
      <c r="F198" s="5">
        <f>VLOOKUP(E198,'PESOS SUBGRUPOS'!B$2:C$193,2,FALSE)</f>
        <v>60</v>
      </c>
      <c r="G198" s="6" t="s">
        <v>203</v>
      </c>
      <c r="H198" s="7" t="s">
        <v>15</v>
      </c>
      <c r="I198" s="5">
        <v>10</v>
      </c>
      <c r="M198" s="5" t="s">
        <v>500</v>
      </c>
    </row>
    <row r="199" spans="1:13" x14ac:dyDescent="0.25">
      <c r="A199" s="4">
        <v>201</v>
      </c>
      <c r="B199" s="5" t="s">
        <v>11</v>
      </c>
      <c r="C199" s="6" t="s">
        <v>41</v>
      </c>
      <c r="D199" s="5">
        <f>VLOOKUP(C199,'PESO GRUPO'!A$1:B$9,2,FALSE)</f>
        <v>20</v>
      </c>
      <c r="E199" s="6" t="s">
        <v>200</v>
      </c>
      <c r="F199" s="5">
        <f>VLOOKUP(E199,'PESOS SUBGRUPOS'!B$2:C$193,2,FALSE)</f>
        <v>60</v>
      </c>
      <c r="G199" s="6" t="s">
        <v>204</v>
      </c>
      <c r="H199" s="7" t="s">
        <v>15</v>
      </c>
      <c r="I199" s="5">
        <v>10</v>
      </c>
      <c r="M199" s="5" t="s">
        <v>500</v>
      </c>
    </row>
    <row r="200" spans="1:13" x14ac:dyDescent="0.25">
      <c r="A200" s="4">
        <v>202</v>
      </c>
      <c r="B200" s="5" t="s">
        <v>11</v>
      </c>
      <c r="C200" s="6" t="s">
        <v>41</v>
      </c>
      <c r="D200" s="5">
        <f>VLOOKUP(C200,'PESO GRUPO'!A$1:B$9,2,FALSE)</f>
        <v>20</v>
      </c>
      <c r="E200" s="6" t="s">
        <v>205</v>
      </c>
      <c r="F200" s="5">
        <f>VLOOKUP(E200,'PESOS SUBGRUPOS'!B$2:C$193,2,FALSE)</f>
        <v>100</v>
      </c>
      <c r="G200" s="6" t="s">
        <v>206</v>
      </c>
      <c r="H200" s="7" t="s">
        <v>15</v>
      </c>
      <c r="I200" s="5">
        <v>10</v>
      </c>
      <c r="M200" s="5" t="s">
        <v>500</v>
      </c>
    </row>
    <row r="201" spans="1:13" x14ac:dyDescent="0.25">
      <c r="A201" s="4">
        <v>203</v>
      </c>
      <c r="B201" s="5" t="s">
        <v>11</v>
      </c>
      <c r="C201" s="6" t="s">
        <v>41</v>
      </c>
      <c r="D201" s="5">
        <f>VLOOKUP(C201,'PESO GRUPO'!A$1:B$9,2,FALSE)</f>
        <v>20</v>
      </c>
      <c r="E201" s="6" t="s">
        <v>205</v>
      </c>
      <c r="F201" s="5">
        <f>VLOOKUP(E201,'PESOS SUBGRUPOS'!B$2:C$193,2,FALSE)</f>
        <v>100</v>
      </c>
      <c r="G201" s="6" t="s">
        <v>207</v>
      </c>
      <c r="H201" s="7" t="s">
        <v>15</v>
      </c>
      <c r="I201" s="5">
        <v>10</v>
      </c>
      <c r="M201" s="5" t="s">
        <v>500</v>
      </c>
    </row>
    <row r="202" spans="1:13" x14ac:dyDescent="0.25">
      <c r="A202" s="4">
        <v>204</v>
      </c>
      <c r="B202" s="5" t="s">
        <v>11</v>
      </c>
      <c r="C202" s="6" t="s">
        <v>41</v>
      </c>
      <c r="D202" s="5">
        <f>VLOOKUP(C202,'PESO GRUPO'!A$1:B$9,2,FALSE)</f>
        <v>20</v>
      </c>
      <c r="E202" s="6" t="s">
        <v>205</v>
      </c>
      <c r="F202" s="5">
        <f>VLOOKUP(E202,'PESOS SUBGRUPOS'!B$2:C$193,2,FALSE)</f>
        <v>100</v>
      </c>
      <c r="G202" s="6" t="s">
        <v>208</v>
      </c>
      <c r="H202" s="7" t="s">
        <v>15</v>
      </c>
      <c r="I202" s="5">
        <v>10</v>
      </c>
      <c r="M202" s="5" t="s">
        <v>500</v>
      </c>
    </row>
    <row r="203" spans="1:13" x14ac:dyDescent="0.25">
      <c r="A203" s="4">
        <v>205</v>
      </c>
      <c r="B203" s="5" t="s">
        <v>11</v>
      </c>
      <c r="C203" s="6" t="s">
        <v>41</v>
      </c>
      <c r="D203" s="5">
        <f>VLOOKUP(C203,'PESO GRUPO'!A$1:B$9,2,FALSE)</f>
        <v>20</v>
      </c>
      <c r="E203" s="6" t="s">
        <v>205</v>
      </c>
      <c r="F203" s="5">
        <f>VLOOKUP(E203,'PESOS SUBGRUPOS'!B$2:C$193,2,FALSE)</f>
        <v>100</v>
      </c>
      <c r="G203" s="6" t="s">
        <v>209</v>
      </c>
      <c r="H203" s="7" t="s">
        <v>15</v>
      </c>
      <c r="I203" s="5">
        <v>10</v>
      </c>
      <c r="M203" s="5" t="s">
        <v>500</v>
      </c>
    </row>
    <row r="204" spans="1:13" x14ac:dyDescent="0.25">
      <c r="A204" s="4">
        <v>206</v>
      </c>
      <c r="B204" s="5" t="s">
        <v>11</v>
      </c>
      <c r="C204" s="6" t="s">
        <v>41</v>
      </c>
      <c r="D204" s="5">
        <f>VLOOKUP(C204,'PESO GRUPO'!A$1:B$9,2,FALSE)</f>
        <v>20</v>
      </c>
      <c r="E204" s="6" t="s">
        <v>205</v>
      </c>
      <c r="F204" s="5">
        <f>VLOOKUP(E204,'PESOS SUBGRUPOS'!B$2:C$193,2,FALSE)</f>
        <v>100</v>
      </c>
      <c r="G204" s="6" t="s">
        <v>210</v>
      </c>
      <c r="H204" s="7" t="s">
        <v>15</v>
      </c>
      <c r="I204" s="5">
        <v>10</v>
      </c>
      <c r="M204" s="5" t="s">
        <v>500</v>
      </c>
    </row>
    <row r="205" spans="1:13" x14ac:dyDescent="0.25">
      <c r="A205" s="4">
        <v>207</v>
      </c>
      <c r="B205" s="5" t="s">
        <v>11</v>
      </c>
      <c r="C205" s="6" t="s">
        <v>41</v>
      </c>
      <c r="D205" s="5">
        <f>VLOOKUP(C205,'PESO GRUPO'!A$1:B$9,2,FALSE)</f>
        <v>20</v>
      </c>
      <c r="E205" s="6" t="s">
        <v>205</v>
      </c>
      <c r="F205" s="5">
        <f>VLOOKUP(E205,'PESOS SUBGRUPOS'!B$2:C$193,2,FALSE)</f>
        <v>100</v>
      </c>
      <c r="G205" s="6" t="s">
        <v>211</v>
      </c>
      <c r="H205" s="7" t="s">
        <v>15</v>
      </c>
      <c r="I205" s="5">
        <v>10</v>
      </c>
      <c r="M205" s="5" t="s">
        <v>500</v>
      </c>
    </row>
    <row r="206" spans="1:13" x14ac:dyDescent="0.25">
      <c r="A206" s="4">
        <v>208</v>
      </c>
      <c r="B206" s="5" t="s">
        <v>11</v>
      </c>
      <c r="C206" s="6" t="s">
        <v>41</v>
      </c>
      <c r="D206" s="5">
        <f>VLOOKUP(C206,'PESO GRUPO'!A$1:B$9,2,FALSE)</f>
        <v>20</v>
      </c>
      <c r="E206" s="6" t="s">
        <v>205</v>
      </c>
      <c r="F206" s="5">
        <f>VLOOKUP(E206,'PESOS SUBGRUPOS'!B$2:C$193,2,FALSE)</f>
        <v>100</v>
      </c>
      <c r="G206" s="6" t="s">
        <v>212</v>
      </c>
      <c r="H206" s="7" t="s">
        <v>15</v>
      </c>
      <c r="I206" s="5">
        <v>10</v>
      </c>
      <c r="M206" s="5" t="s">
        <v>500</v>
      </c>
    </row>
    <row r="207" spans="1:13" x14ac:dyDescent="0.25">
      <c r="A207" s="4">
        <v>209</v>
      </c>
      <c r="B207" s="5" t="s">
        <v>11</v>
      </c>
      <c r="C207" s="6" t="s">
        <v>41</v>
      </c>
      <c r="D207" s="5">
        <f>VLOOKUP(C207,'PESO GRUPO'!A$1:B$9,2,FALSE)</f>
        <v>20</v>
      </c>
      <c r="E207" s="6" t="s">
        <v>205</v>
      </c>
      <c r="F207" s="5">
        <f>VLOOKUP(E207,'PESOS SUBGRUPOS'!B$2:C$193,2,FALSE)</f>
        <v>100</v>
      </c>
      <c r="G207" s="6" t="s">
        <v>214</v>
      </c>
      <c r="H207" s="7" t="s">
        <v>15</v>
      </c>
      <c r="I207" s="5">
        <v>10</v>
      </c>
      <c r="M207" s="5" t="s">
        <v>500</v>
      </c>
    </row>
    <row r="208" spans="1:13" x14ac:dyDescent="0.25">
      <c r="A208" s="4">
        <v>210</v>
      </c>
      <c r="B208" s="5" t="s">
        <v>11</v>
      </c>
      <c r="C208" s="6" t="s">
        <v>41</v>
      </c>
      <c r="D208" s="5">
        <f>VLOOKUP(C208,'PESO GRUPO'!A$1:B$9,2,FALSE)</f>
        <v>20</v>
      </c>
      <c r="E208" s="6" t="s">
        <v>205</v>
      </c>
      <c r="F208" s="5">
        <f>VLOOKUP(E208,'PESOS SUBGRUPOS'!B$2:C$193,2,FALSE)</f>
        <v>100</v>
      </c>
      <c r="G208" s="6" t="s">
        <v>215</v>
      </c>
      <c r="H208" s="7" t="s">
        <v>15</v>
      </c>
      <c r="I208" s="5">
        <v>10</v>
      </c>
      <c r="M208" s="5" t="s">
        <v>500</v>
      </c>
    </row>
    <row r="209" spans="1:13" x14ac:dyDescent="0.25">
      <c r="A209" s="4">
        <v>211</v>
      </c>
      <c r="B209" s="5" t="s">
        <v>11</v>
      </c>
      <c r="C209" s="6" t="s">
        <v>41</v>
      </c>
      <c r="D209" s="5">
        <f>VLOOKUP(C209,'PESO GRUPO'!A$1:B$9,2,FALSE)</f>
        <v>20</v>
      </c>
      <c r="E209" s="6" t="s">
        <v>205</v>
      </c>
      <c r="F209" s="5">
        <f>VLOOKUP(E209,'PESOS SUBGRUPOS'!B$2:C$193,2,FALSE)</f>
        <v>100</v>
      </c>
      <c r="G209" s="6" t="s">
        <v>216</v>
      </c>
      <c r="H209" s="7" t="s">
        <v>15</v>
      </c>
      <c r="I209" s="5">
        <v>10</v>
      </c>
      <c r="M209" s="5" t="s">
        <v>500</v>
      </c>
    </row>
    <row r="210" spans="1:13" x14ac:dyDescent="0.25">
      <c r="A210" s="4">
        <v>212</v>
      </c>
      <c r="B210" s="5" t="s">
        <v>11</v>
      </c>
      <c r="C210" s="6" t="s">
        <v>41</v>
      </c>
      <c r="D210" s="5">
        <f>VLOOKUP(C210,'PESO GRUPO'!A$1:B$9,2,FALSE)</f>
        <v>20</v>
      </c>
      <c r="E210" s="6" t="s">
        <v>205</v>
      </c>
      <c r="F210" s="5">
        <f>VLOOKUP(E210,'PESOS SUBGRUPOS'!B$2:C$193,2,FALSE)</f>
        <v>100</v>
      </c>
      <c r="G210" s="6" t="s">
        <v>217</v>
      </c>
      <c r="H210" s="7" t="s">
        <v>15</v>
      </c>
      <c r="I210" s="5">
        <v>10</v>
      </c>
      <c r="M210" s="5" t="s">
        <v>500</v>
      </c>
    </row>
    <row r="211" spans="1:13" x14ac:dyDescent="0.25">
      <c r="A211" s="4">
        <v>213</v>
      </c>
      <c r="B211" s="5" t="s">
        <v>11</v>
      </c>
      <c r="C211" s="6" t="s">
        <v>41</v>
      </c>
      <c r="D211" s="5">
        <f>VLOOKUP(C211,'PESO GRUPO'!A$1:B$9,2,FALSE)</f>
        <v>20</v>
      </c>
      <c r="E211" s="6" t="s">
        <v>205</v>
      </c>
      <c r="F211" s="5">
        <f>VLOOKUP(E211,'PESOS SUBGRUPOS'!B$2:C$193,2,FALSE)</f>
        <v>100</v>
      </c>
      <c r="G211" s="6" t="s">
        <v>218</v>
      </c>
      <c r="H211" s="7" t="s">
        <v>15</v>
      </c>
      <c r="I211" s="5">
        <v>10</v>
      </c>
      <c r="M211" s="5" t="s">
        <v>500</v>
      </c>
    </row>
    <row r="212" spans="1:13" x14ac:dyDescent="0.25">
      <c r="A212" s="4">
        <v>214</v>
      </c>
      <c r="B212" s="5" t="s">
        <v>11</v>
      </c>
      <c r="C212" s="6" t="s">
        <v>41</v>
      </c>
      <c r="D212" s="5">
        <f>VLOOKUP(C212,'PESO GRUPO'!A$1:B$9,2,FALSE)</f>
        <v>20</v>
      </c>
      <c r="E212" s="6" t="s">
        <v>205</v>
      </c>
      <c r="F212" s="5">
        <f>VLOOKUP(E212,'PESOS SUBGRUPOS'!B$2:C$193,2,FALSE)</f>
        <v>100</v>
      </c>
      <c r="G212" s="6" t="s">
        <v>219</v>
      </c>
      <c r="H212" s="7" t="s">
        <v>15</v>
      </c>
      <c r="I212" s="5">
        <v>10</v>
      </c>
      <c r="M212" s="5" t="s">
        <v>500</v>
      </c>
    </row>
    <row r="213" spans="1:13" x14ac:dyDescent="0.25">
      <c r="A213" s="4">
        <v>215</v>
      </c>
      <c r="B213" s="5" t="s">
        <v>11</v>
      </c>
      <c r="C213" s="6" t="s">
        <v>41</v>
      </c>
      <c r="D213" s="5">
        <f>VLOOKUP(C213,'PESO GRUPO'!A$1:B$9,2,FALSE)</f>
        <v>20</v>
      </c>
      <c r="E213" s="6" t="s">
        <v>220</v>
      </c>
      <c r="F213" s="5">
        <f>VLOOKUP(E213,'PESOS SUBGRUPOS'!B$2:C$193,2,FALSE)</f>
        <v>20</v>
      </c>
      <c r="G213" s="6" t="s">
        <v>221</v>
      </c>
      <c r="H213" s="7" t="s">
        <v>15</v>
      </c>
      <c r="I213" s="5">
        <v>10</v>
      </c>
      <c r="M213" s="5" t="s">
        <v>500</v>
      </c>
    </row>
    <row r="214" spans="1:13" x14ac:dyDescent="0.25">
      <c r="A214" s="4">
        <v>216</v>
      </c>
      <c r="B214" s="5" t="s">
        <v>11</v>
      </c>
      <c r="C214" s="6" t="s">
        <v>41</v>
      </c>
      <c r="D214" s="5">
        <f>VLOOKUP(C214,'PESO GRUPO'!A$1:B$9,2,FALSE)</f>
        <v>20</v>
      </c>
      <c r="E214" s="6" t="s">
        <v>222</v>
      </c>
      <c r="F214" s="5">
        <f>VLOOKUP(E214,'PESOS SUBGRUPOS'!B$2:C$193,2,FALSE)</f>
        <v>60</v>
      </c>
      <c r="G214" s="6" t="s">
        <v>223</v>
      </c>
      <c r="H214" s="7" t="s">
        <v>15</v>
      </c>
      <c r="I214" s="5">
        <v>10</v>
      </c>
      <c r="M214" s="5" t="s">
        <v>500</v>
      </c>
    </row>
    <row r="215" spans="1:13" x14ac:dyDescent="0.25">
      <c r="A215" s="4">
        <v>217</v>
      </c>
      <c r="B215" s="5" t="s">
        <v>11</v>
      </c>
      <c r="C215" s="6" t="s">
        <v>41</v>
      </c>
      <c r="D215" s="5">
        <f>VLOOKUP(C215,'PESO GRUPO'!A$1:B$9,2,FALSE)</f>
        <v>20</v>
      </c>
      <c r="E215" s="6" t="s">
        <v>222</v>
      </c>
      <c r="F215" s="5">
        <f>VLOOKUP(E215,'PESOS SUBGRUPOS'!B$2:C$193,2,FALSE)</f>
        <v>60</v>
      </c>
      <c r="G215" s="6" t="s">
        <v>224</v>
      </c>
      <c r="H215" s="7" t="s">
        <v>15</v>
      </c>
      <c r="I215" s="5">
        <v>10</v>
      </c>
      <c r="M215" s="5" t="s">
        <v>500</v>
      </c>
    </row>
    <row r="216" spans="1:13" x14ac:dyDescent="0.25">
      <c r="A216" s="4">
        <v>218</v>
      </c>
      <c r="B216" s="5" t="s">
        <v>11</v>
      </c>
      <c r="C216" s="6" t="s">
        <v>41</v>
      </c>
      <c r="D216" s="5">
        <f>VLOOKUP(C216,'PESO GRUPO'!A$1:B$9,2,FALSE)</f>
        <v>20</v>
      </c>
      <c r="E216" s="6" t="s">
        <v>222</v>
      </c>
      <c r="F216" s="5">
        <f>VLOOKUP(E216,'PESOS SUBGRUPOS'!B$2:C$193,2,FALSE)</f>
        <v>60</v>
      </c>
      <c r="G216" s="6" t="s">
        <v>225</v>
      </c>
      <c r="H216" s="7" t="s">
        <v>15</v>
      </c>
      <c r="I216" s="5">
        <v>10</v>
      </c>
      <c r="M216" s="5" t="s">
        <v>500</v>
      </c>
    </row>
    <row r="217" spans="1:13" x14ac:dyDescent="0.25">
      <c r="A217" s="4">
        <v>219</v>
      </c>
      <c r="B217" s="5" t="s">
        <v>11</v>
      </c>
      <c r="C217" s="6" t="s">
        <v>41</v>
      </c>
      <c r="D217" s="5">
        <f>VLOOKUP(C217,'PESO GRUPO'!A$1:B$9,2,FALSE)</f>
        <v>20</v>
      </c>
      <c r="E217" s="6" t="s">
        <v>222</v>
      </c>
      <c r="F217" s="5">
        <f>VLOOKUP(E217,'PESOS SUBGRUPOS'!B$2:C$193,2,FALSE)</f>
        <v>60</v>
      </c>
      <c r="G217" s="6" t="s">
        <v>226</v>
      </c>
      <c r="H217" s="7" t="s">
        <v>15</v>
      </c>
      <c r="I217" s="5">
        <v>10</v>
      </c>
      <c r="M217" s="5" t="s">
        <v>500</v>
      </c>
    </row>
    <row r="218" spans="1:13" x14ac:dyDescent="0.25">
      <c r="A218" s="4">
        <v>220</v>
      </c>
      <c r="B218" s="5" t="s">
        <v>16</v>
      </c>
      <c r="C218" s="6" t="s">
        <v>41</v>
      </c>
      <c r="D218" s="5">
        <f>VLOOKUP(C218,'PESO GRUPO'!A$1:B$9,2,FALSE)</f>
        <v>20</v>
      </c>
      <c r="E218" s="6" t="s">
        <v>222</v>
      </c>
      <c r="F218" s="5">
        <f>VLOOKUP(E218,'PESOS SUBGRUPOS'!B$2:C$193,2,FALSE)</f>
        <v>60</v>
      </c>
      <c r="G218" s="6" t="s">
        <v>227</v>
      </c>
      <c r="H218" s="7" t="s">
        <v>15</v>
      </c>
      <c r="I218" s="5">
        <v>0</v>
      </c>
      <c r="M218" s="5" t="s">
        <v>500</v>
      </c>
    </row>
    <row r="219" spans="1:13" x14ac:dyDescent="0.25">
      <c r="A219" s="4">
        <v>221</v>
      </c>
      <c r="B219" s="5" t="s">
        <v>11</v>
      </c>
      <c r="C219" s="6" t="s">
        <v>41</v>
      </c>
      <c r="D219" s="5">
        <f>VLOOKUP(C219,'PESO GRUPO'!A$1:B$9,2,FALSE)</f>
        <v>20</v>
      </c>
      <c r="E219" s="6" t="s">
        <v>228</v>
      </c>
      <c r="F219" s="5">
        <f>VLOOKUP(E219,'PESOS SUBGRUPOS'!B$2:C$193,2,FALSE)</f>
        <v>80</v>
      </c>
      <c r="G219" s="6" t="s">
        <v>229</v>
      </c>
      <c r="H219" s="7" t="s">
        <v>15</v>
      </c>
      <c r="I219" s="5">
        <v>10</v>
      </c>
      <c r="M219" s="5" t="s">
        <v>500</v>
      </c>
    </row>
    <row r="220" spans="1:13" x14ac:dyDescent="0.25">
      <c r="A220" s="4">
        <v>222</v>
      </c>
      <c r="B220" s="5" t="s">
        <v>11</v>
      </c>
      <c r="C220" s="6" t="s">
        <v>41</v>
      </c>
      <c r="D220" s="5">
        <f>VLOOKUP(C220,'PESO GRUPO'!A$1:B$9,2,FALSE)</f>
        <v>20</v>
      </c>
      <c r="E220" s="6" t="s">
        <v>228</v>
      </c>
      <c r="F220" s="5">
        <f>VLOOKUP(E220,'PESOS SUBGRUPOS'!B$2:C$193,2,FALSE)</f>
        <v>80</v>
      </c>
      <c r="G220" s="6" t="s">
        <v>455</v>
      </c>
      <c r="H220" s="7" t="s">
        <v>15</v>
      </c>
      <c r="I220" s="5">
        <v>60</v>
      </c>
      <c r="M220" s="5" t="s">
        <v>500</v>
      </c>
    </row>
    <row r="221" spans="1:13" x14ac:dyDescent="0.25">
      <c r="A221" s="4">
        <v>223</v>
      </c>
      <c r="B221" s="5" t="s">
        <v>11</v>
      </c>
      <c r="C221" s="6" t="s">
        <v>41</v>
      </c>
      <c r="D221" s="5">
        <f>VLOOKUP(C221,'PESO GRUPO'!A$1:B$9,2,FALSE)</f>
        <v>20</v>
      </c>
      <c r="E221" s="6" t="s">
        <v>228</v>
      </c>
      <c r="F221" s="5">
        <f>VLOOKUP(E221,'PESOS SUBGRUPOS'!B$2:C$193,2,FALSE)</f>
        <v>80</v>
      </c>
      <c r="G221" s="6" t="s">
        <v>456</v>
      </c>
      <c r="H221" s="7" t="s">
        <v>15</v>
      </c>
      <c r="I221" s="5">
        <v>40</v>
      </c>
      <c r="M221" s="5" t="s">
        <v>500</v>
      </c>
    </row>
    <row r="222" spans="1:13" x14ac:dyDescent="0.25">
      <c r="A222" s="4">
        <v>224</v>
      </c>
      <c r="B222" s="5" t="s">
        <v>11</v>
      </c>
      <c r="C222" s="6" t="s">
        <v>41</v>
      </c>
      <c r="D222" s="5">
        <f>VLOOKUP(C222,'PESO GRUPO'!A$1:B$9,2,FALSE)</f>
        <v>20</v>
      </c>
      <c r="E222" s="6" t="s">
        <v>228</v>
      </c>
      <c r="F222" s="5">
        <f>VLOOKUP(E222,'PESOS SUBGRUPOS'!B$2:C$193,2,FALSE)</f>
        <v>80</v>
      </c>
      <c r="G222" s="6" t="s">
        <v>230</v>
      </c>
      <c r="H222" s="7" t="s">
        <v>15</v>
      </c>
      <c r="I222" s="5">
        <v>10</v>
      </c>
      <c r="M222" s="5" t="s">
        <v>500</v>
      </c>
    </row>
    <row r="223" spans="1:13" x14ac:dyDescent="0.25">
      <c r="A223" s="4">
        <v>225</v>
      </c>
      <c r="B223" s="5" t="s">
        <v>11</v>
      </c>
      <c r="C223" s="6" t="s">
        <v>41</v>
      </c>
      <c r="D223" s="5">
        <f>VLOOKUP(C223,'PESO GRUPO'!A$1:B$9,2,FALSE)</f>
        <v>20</v>
      </c>
      <c r="E223" s="6" t="s">
        <v>228</v>
      </c>
      <c r="F223" s="5">
        <f>VLOOKUP(E223,'PESOS SUBGRUPOS'!B$2:C$193,2,FALSE)</f>
        <v>80</v>
      </c>
      <c r="G223" s="6" t="s">
        <v>84</v>
      </c>
      <c r="H223" s="7" t="s">
        <v>15</v>
      </c>
      <c r="I223" s="5">
        <v>10</v>
      </c>
      <c r="M223" s="5" t="s">
        <v>500</v>
      </c>
    </row>
    <row r="224" spans="1:13" x14ac:dyDescent="0.25">
      <c r="A224" s="4">
        <v>226</v>
      </c>
      <c r="B224" s="5" t="s">
        <v>11</v>
      </c>
      <c r="C224" s="6" t="s">
        <v>41</v>
      </c>
      <c r="D224" s="5">
        <f>VLOOKUP(C224,'PESO GRUPO'!A$1:B$9,2,FALSE)</f>
        <v>20</v>
      </c>
      <c r="E224" s="6" t="s">
        <v>228</v>
      </c>
      <c r="F224" s="5">
        <f>VLOOKUP(E224,'PESOS SUBGRUPOS'!B$2:C$193,2,FALSE)</f>
        <v>80</v>
      </c>
      <c r="G224" s="6" t="s">
        <v>231</v>
      </c>
      <c r="H224" s="7" t="s">
        <v>15</v>
      </c>
      <c r="I224" s="5">
        <v>10</v>
      </c>
      <c r="M224" s="5" t="s">
        <v>500</v>
      </c>
    </row>
    <row r="225" spans="1:13" x14ac:dyDescent="0.25">
      <c r="A225" s="4">
        <v>227</v>
      </c>
      <c r="B225" s="5" t="s">
        <v>11</v>
      </c>
      <c r="C225" s="6" t="s">
        <v>41</v>
      </c>
      <c r="D225" s="5">
        <f>VLOOKUP(C225,'PESO GRUPO'!A$1:B$9,2,FALSE)</f>
        <v>20</v>
      </c>
      <c r="E225" s="6" t="s">
        <v>228</v>
      </c>
      <c r="F225" s="5">
        <f>VLOOKUP(E225,'PESOS SUBGRUPOS'!B$2:C$193,2,FALSE)</f>
        <v>80</v>
      </c>
      <c r="G225" s="6" t="s">
        <v>232</v>
      </c>
      <c r="H225" s="7" t="s">
        <v>15</v>
      </c>
      <c r="I225" s="5">
        <v>30</v>
      </c>
      <c r="M225" s="5" t="s">
        <v>500</v>
      </c>
    </row>
    <row r="226" spans="1:13" x14ac:dyDescent="0.25">
      <c r="A226" s="4">
        <v>228</v>
      </c>
      <c r="B226" s="5" t="s">
        <v>11</v>
      </c>
      <c r="C226" s="6" t="s">
        <v>41</v>
      </c>
      <c r="D226" s="5">
        <f>VLOOKUP(C226,'PESO GRUPO'!A$1:B$9,2,FALSE)</f>
        <v>20</v>
      </c>
      <c r="E226" s="6" t="s">
        <v>233</v>
      </c>
      <c r="F226" s="5">
        <f>VLOOKUP(E226,'PESOS SUBGRUPOS'!B$2:C$193,2,FALSE)</f>
        <v>40</v>
      </c>
      <c r="G226" s="6" t="s">
        <v>234</v>
      </c>
      <c r="H226" s="7" t="s">
        <v>15</v>
      </c>
      <c r="I226" s="5">
        <v>10</v>
      </c>
      <c r="M226" s="5" t="s">
        <v>500</v>
      </c>
    </row>
    <row r="227" spans="1:13" x14ac:dyDescent="0.25">
      <c r="A227" s="4">
        <v>229</v>
      </c>
      <c r="B227" s="5" t="s">
        <v>11</v>
      </c>
      <c r="C227" s="6" t="s">
        <v>41</v>
      </c>
      <c r="D227" s="5">
        <f>VLOOKUP(C227,'PESO GRUPO'!A$1:B$9,2,FALSE)</f>
        <v>20</v>
      </c>
      <c r="E227" s="6" t="s">
        <v>235</v>
      </c>
      <c r="F227" s="5">
        <f>VLOOKUP(E227,'PESOS SUBGRUPOS'!B$2:C$193,2,FALSE)</f>
        <v>60</v>
      </c>
      <c r="G227" s="6" t="s">
        <v>236</v>
      </c>
      <c r="H227" s="7" t="s">
        <v>15</v>
      </c>
      <c r="I227" s="5">
        <v>10</v>
      </c>
      <c r="M227" s="5" t="s">
        <v>500</v>
      </c>
    </row>
    <row r="228" spans="1:13" x14ac:dyDescent="0.25">
      <c r="A228" s="4">
        <v>230</v>
      </c>
      <c r="B228" s="5" t="s">
        <v>11</v>
      </c>
      <c r="C228" s="6" t="s">
        <v>41</v>
      </c>
      <c r="D228" s="5">
        <f>VLOOKUP(C228,'PESO GRUPO'!A$1:B$9,2,FALSE)</f>
        <v>20</v>
      </c>
      <c r="E228" s="6" t="s">
        <v>235</v>
      </c>
      <c r="F228" s="5">
        <f>VLOOKUP(E228,'PESOS SUBGRUPOS'!B$2:C$193,2,FALSE)</f>
        <v>60</v>
      </c>
      <c r="G228" s="6" t="s">
        <v>237</v>
      </c>
      <c r="H228" s="7" t="s">
        <v>15</v>
      </c>
      <c r="I228" s="5">
        <v>10</v>
      </c>
      <c r="M228" s="5" t="s">
        <v>500</v>
      </c>
    </row>
    <row r="229" spans="1:13" x14ac:dyDescent="0.25">
      <c r="A229" s="4">
        <v>240</v>
      </c>
      <c r="B229" s="5" t="s">
        <v>11</v>
      </c>
      <c r="C229" s="6" t="s">
        <v>238</v>
      </c>
      <c r="D229" s="5">
        <f>VLOOKUP(C229,'PESO GRUPO'!A$1:B$9,2,FALSE)</f>
        <v>30</v>
      </c>
      <c r="E229" s="6" t="s">
        <v>239</v>
      </c>
      <c r="F229" s="5">
        <f>VLOOKUP(E229,'PESOS SUBGRUPOS'!B$2:C$193,2,FALSE)</f>
        <v>80</v>
      </c>
      <c r="G229" s="6" t="s">
        <v>84</v>
      </c>
      <c r="H229" s="7" t="s">
        <v>15</v>
      </c>
      <c r="I229" s="5">
        <v>20</v>
      </c>
      <c r="M229" s="5" t="s">
        <v>500</v>
      </c>
    </row>
    <row r="230" spans="1:13" x14ac:dyDescent="0.25">
      <c r="A230" s="4">
        <v>241</v>
      </c>
      <c r="B230" s="5" t="s">
        <v>11</v>
      </c>
      <c r="C230" s="6" t="s">
        <v>238</v>
      </c>
      <c r="D230" s="5">
        <f>VLOOKUP(C230,'PESO GRUPO'!A$1:B$9,2,FALSE)</f>
        <v>30</v>
      </c>
      <c r="E230" s="6" t="s">
        <v>239</v>
      </c>
      <c r="F230" s="5">
        <f>VLOOKUP(E230,'PESOS SUBGRUPOS'!B$2:C$193,2,FALSE)</f>
        <v>80</v>
      </c>
      <c r="G230" s="6" t="s">
        <v>240</v>
      </c>
      <c r="H230" s="7" t="s">
        <v>15</v>
      </c>
      <c r="I230" s="5">
        <v>10</v>
      </c>
      <c r="M230" s="5" t="s">
        <v>500</v>
      </c>
    </row>
    <row r="231" spans="1:13" x14ac:dyDescent="0.25">
      <c r="A231" s="4">
        <v>242</v>
      </c>
      <c r="B231" s="5" t="s">
        <v>11</v>
      </c>
      <c r="C231" s="6" t="s">
        <v>238</v>
      </c>
      <c r="D231" s="5">
        <f>VLOOKUP(C231,'PESO GRUPO'!A$1:B$9,2,FALSE)</f>
        <v>30</v>
      </c>
      <c r="E231" s="6" t="s">
        <v>239</v>
      </c>
      <c r="F231" s="5">
        <f>VLOOKUP(E231,'PESOS SUBGRUPOS'!B$2:C$193,2,FALSE)</f>
        <v>80</v>
      </c>
      <c r="G231" s="6" t="s">
        <v>499</v>
      </c>
      <c r="H231" s="7" t="s">
        <v>15</v>
      </c>
      <c r="I231" s="5">
        <v>60</v>
      </c>
      <c r="M231" s="5" t="s">
        <v>500</v>
      </c>
    </row>
    <row r="232" spans="1:13" x14ac:dyDescent="0.25">
      <c r="A232" s="4">
        <v>243</v>
      </c>
      <c r="B232" s="5" t="s">
        <v>11</v>
      </c>
      <c r="C232" s="6" t="s">
        <v>238</v>
      </c>
      <c r="D232" s="5">
        <f>VLOOKUP(C232,'PESO GRUPO'!A$1:B$9,2,FALSE)</f>
        <v>30</v>
      </c>
      <c r="E232" s="6" t="s">
        <v>239</v>
      </c>
      <c r="F232" s="5">
        <f>VLOOKUP(E232,'PESOS SUBGRUPOS'!B$2:C$193,2,FALSE)</f>
        <v>80</v>
      </c>
      <c r="G232" s="6" t="s">
        <v>241</v>
      </c>
      <c r="H232" s="7" t="s">
        <v>15</v>
      </c>
      <c r="I232" s="5">
        <v>10</v>
      </c>
      <c r="M232" s="5" t="s">
        <v>500</v>
      </c>
    </row>
    <row r="233" spans="1:13" x14ac:dyDescent="0.25">
      <c r="A233" s="4">
        <v>244</v>
      </c>
      <c r="B233" s="5" t="s">
        <v>11</v>
      </c>
      <c r="C233" s="6" t="s">
        <v>238</v>
      </c>
      <c r="D233" s="5">
        <f>VLOOKUP(C233,'PESO GRUPO'!A$1:B$9,2,FALSE)</f>
        <v>30</v>
      </c>
      <c r="E233" s="6" t="s">
        <v>239</v>
      </c>
      <c r="F233" s="5">
        <f>VLOOKUP(E233,'PESOS SUBGRUPOS'!B$2:C$193,2,FALSE)</f>
        <v>80</v>
      </c>
      <c r="G233" s="6" t="s">
        <v>242</v>
      </c>
      <c r="H233" s="7" t="s">
        <v>15</v>
      </c>
      <c r="I233" s="5">
        <v>20</v>
      </c>
      <c r="M233" s="5" t="s">
        <v>500</v>
      </c>
    </row>
    <row r="234" spans="1:13" x14ac:dyDescent="0.25">
      <c r="A234" s="4">
        <v>245</v>
      </c>
      <c r="B234" s="5" t="s">
        <v>11</v>
      </c>
      <c r="C234" s="6" t="s">
        <v>238</v>
      </c>
      <c r="D234" s="5">
        <f>VLOOKUP(C234,'PESO GRUPO'!A$1:B$9,2,FALSE)</f>
        <v>30</v>
      </c>
      <c r="E234" s="6" t="s">
        <v>239</v>
      </c>
      <c r="F234" s="5">
        <f>VLOOKUP(E234,'PESOS SUBGRUPOS'!B$2:C$193,2,FALSE)</f>
        <v>80</v>
      </c>
      <c r="G234" s="6" t="s">
        <v>243</v>
      </c>
      <c r="H234" s="7" t="s">
        <v>15</v>
      </c>
      <c r="I234" s="5">
        <v>30</v>
      </c>
      <c r="M234" s="5" t="s">
        <v>500</v>
      </c>
    </row>
    <row r="235" spans="1:13" x14ac:dyDescent="0.25">
      <c r="A235" s="4">
        <v>246</v>
      </c>
      <c r="B235" s="5" t="s">
        <v>11</v>
      </c>
      <c r="C235" s="6" t="s">
        <v>238</v>
      </c>
      <c r="D235" s="5">
        <f>VLOOKUP(C235,'PESO GRUPO'!A$1:B$9,2,FALSE)</f>
        <v>30</v>
      </c>
      <c r="E235" s="6" t="s">
        <v>239</v>
      </c>
      <c r="F235" s="5">
        <f>VLOOKUP(E235,'PESOS SUBGRUPOS'!B$2:C$193,2,FALSE)</f>
        <v>80</v>
      </c>
      <c r="G235" s="6" t="s">
        <v>244</v>
      </c>
      <c r="H235" s="7" t="s">
        <v>15</v>
      </c>
      <c r="I235" s="5">
        <v>20</v>
      </c>
      <c r="M235" s="5" t="s">
        <v>500</v>
      </c>
    </row>
    <row r="236" spans="1:13" x14ac:dyDescent="0.25">
      <c r="A236" s="4">
        <v>247</v>
      </c>
      <c r="B236" s="5" t="s">
        <v>11</v>
      </c>
      <c r="C236" s="6" t="s">
        <v>238</v>
      </c>
      <c r="D236" s="5">
        <f>VLOOKUP(C236,'PESO GRUPO'!A$1:B$9,2,FALSE)</f>
        <v>30</v>
      </c>
      <c r="E236" s="6" t="s">
        <v>245</v>
      </c>
      <c r="F236" s="5">
        <f>VLOOKUP(E236,'PESOS SUBGRUPOS'!B$2:C$193,2,FALSE)</f>
        <v>60</v>
      </c>
      <c r="G236" s="6" t="s">
        <v>246</v>
      </c>
      <c r="H236" s="7" t="s">
        <v>15</v>
      </c>
      <c r="I236" s="5">
        <v>30</v>
      </c>
      <c r="M236" s="5" t="s">
        <v>500</v>
      </c>
    </row>
    <row r="237" spans="1:13" x14ac:dyDescent="0.25">
      <c r="A237" s="4">
        <v>248</v>
      </c>
      <c r="B237" s="5" t="s">
        <v>11</v>
      </c>
      <c r="C237" s="6" t="s">
        <v>238</v>
      </c>
      <c r="D237" s="5">
        <f>VLOOKUP(C237,'PESO GRUPO'!A$1:B$9,2,FALSE)</f>
        <v>30</v>
      </c>
      <c r="E237" s="6" t="s">
        <v>245</v>
      </c>
      <c r="F237" s="5">
        <f>VLOOKUP(E237,'PESOS SUBGRUPOS'!B$2:C$193,2,FALSE)</f>
        <v>60</v>
      </c>
      <c r="G237" s="6" t="s">
        <v>247</v>
      </c>
      <c r="H237" s="7" t="s">
        <v>15</v>
      </c>
      <c r="I237" s="5">
        <v>10</v>
      </c>
      <c r="M237" s="5" t="s">
        <v>500</v>
      </c>
    </row>
    <row r="238" spans="1:13" x14ac:dyDescent="0.25">
      <c r="A238" s="4">
        <v>249</v>
      </c>
      <c r="B238" s="5" t="s">
        <v>11</v>
      </c>
      <c r="C238" s="6" t="s">
        <v>238</v>
      </c>
      <c r="D238" s="5">
        <f>VLOOKUP(C238,'PESO GRUPO'!A$1:B$9,2,FALSE)</f>
        <v>30</v>
      </c>
      <c r="E238" s="6" t="s">
        <v>245</v>
      </c>
      <c r="F238" s="5">
        <f>VLOOKUP(E238,'PESOS SUBGRUPOS'!B$2:C$193,2,FALSE)</f>
        <v>60</v>
      </c>
      <c r="G238" s="6" t="s">
        <v>248</v>
      </c>
      <c r="H238" s="7" t="s">
        <v>15</v>
      </c>
      <c r="I238" s="5">
        <v>30</v>
      </c>
      <c r="M238" s="5" t="s">
        <v>500</v>
      </c>
    </row>
    <row r="239" spans="1:13" x14ac:dyDescent="0.25">
      <c r="A239" s="4">
        <v>250</v>
      </c>
      <c r="B239" s="5" t="s">
        <v>11</v>
      </c>
      <c r="C239" s="6" t="s">
        <v>238</v>
      </c>
      <c r="D239" s="5">
        <f>VLOOKUP(C239,'PESO GRUPO'!A$1:B$9,2,FALSE)</f>
        <v>30</v>
      </c>
      <c r="E239" s="6" t="s">
        <v>245</v>
      </c>
      <c r="F239" s="5">
        <f>VLOOKUP(E239,'PESOS SUBGRUPOS'!B$2:C$193,2,FALSE)</f>
        <v>60</v>
      </c>
      <c r="G239" s="6" t="s">
        <v>249</v>
      </c>
      <c r="H239" s="7" t="s">
        <v>15</v>
      </c>
      <c r="I239" s="5">
        <v>10</v>
      </c>
      <c r="M239" s="5" t="s">
        <v>500</v>
      </c>
    </row>
    <row r="240" spans="1:13" x14ac:dyDescent="0.25">
      <c r="A240" s="4">
        <v>251</v>
      </c>
      <c r="B240" s="5" t="s">
        <v>11</v>
      </c>
      <c r="C240" s="6" t="s">
        <v>238</v>
      </c>
      <c r="D240" s="5">
        <f>VLOOKUP(C240,'PESO GRUPO'!A$1:B$9,2,FALSE)</f>
        <v>30</v>
      </c>
      <c r="E240" s="6" t="s">
        <v>245</v>
      </c>
      <c r="F240" s="5">
        <f>VLOOKUP(E240,'PESOS SUBGRUPOS'!B$2:C$193,2,FALSE)</f>
        <v>60</v>
      </c>
      <c r="G240" s="6" t="s">
        <v>250</v>
      </c>
      <c r="H240" s="7" t="s">
        <v>15</v>
      </c>
      <c r="I240" s="5">
        <v>10</v>
      </c>
      <c r="M240" s="5" t="s">
        <v>500</v>
      </c>
    </row>
    <row r="241" spans="1:13" x14ac:dyDescent="0.25">
      <c r="A241" s="4">
        <v>252</v>
      </c>
      <c r="B241" s="5" t="s">
        <v>11</v>
      </c>
      <c r="C241" s="6" t="s">
        <v>238</v>
      </c>
      <c r="D241" s="5">
        <f>VLOOKUP(C241,'PESO GRUPO'!A$1:B$9,2,FALSE)</f>
        <v>30</v>
      </c>
      <c r="E241" s="6" t="s">
        <v>245</v>
      </c>
      <c r="F241" s="5">
        <f>VLOOKUP(E241,'PESOS SUBGRUPOS'!B$2:C$193,2,FALSE)</f>
        <v>60</v>
      </c>
      <c r="G241" s="6" t="s">
        <v>251</v>
      </c>
      <c r="H241" s="7" t="s">
        <v>15</v>
      </c>
      <c r="I241" s="5">
        <v>30</v>
      </c>
      <c r="M241" s="5" t="s">
        <v>500</v>
      </c>
    </row>
    <row r="242" spans="1:13" x14ac:dyDescent="0.25">
      <c r="A242" s="4">
        <v>253</v>
      </c>
      <c r="B242" s="5" t="s">
        <v>11</v>
      </c>
      <c r="C242" s="6" t="s">
        <v>238</v>
      </c>
      <c r="D242" s="5">
        <f>VLOOKUP(C242,'PESO GRUPO'!A$1:B$9,2,FALSE)</f>
        <v>30</v>
      </c>
      <c r="E242" s="6" t="s">
        <v>245</v>
      </c>
      <c r="F242" s="5">
        <f>VLOOKUP(E242,'PESOS SUBGRUPOS'!B$2:C$193,2,FALSE)</f>
        <v>60</v>
      </c>
      <c r="G242" s="6" t="s">
        <v>252</v>
      </c>
      <c r="H242" s="7" t="s">
        <v>15</v>
      </c>
      <c r="I242" s="5">
        <v>40</v>
      </c>
      <c r="M242" s="5" t="s">
        <v>500</v>
      </c>
    </row>
    <row r="243" spans="1:13" x14ac:dyDescent="0.25">
      <c r="A243" s="4">
        <v>254</v>
      </c>
      <c r="B243" s="5" t="s">
        <v>11</v>
      </c>
      <c r="C243" s="6" t="s">
        <v>238</v>
      </c>
      <c r="D243" s="5">
        <f>VLOOKUP(C243,'PESO GRUPO'!A$1:B$9,2,FALSE)</f>
        <v>30</v>
      </c>
      <c r="E243" s="6" t="s">
        <v>245</v>
      </c>
      <c r="F243" s="5">
        <f>VLOOKUP(E243,'PESOS SUBGRUPOS'!B$2:C$193,2,FALSE)</f>
        <v>60</v>
      </c>
      <c r="G243" s="6" t="s">
        <v>253</v>
      </c>
      <c r="H243" s="7" t="s">
        <v>15</v>
      </c>
      <c r="I243" s="5">
        <v>20</v>
      </c>
      <c r="M243" s="5" t="s">
        <v>500</v>
      </c>
    </row>
    <row r="244" spans="1:13" x14ac:dyDescent="0.25">
      <c r="A244" s="4">
        <v>255</v>
      </c>
      <c r="B244" s="5" t="s">
        <v>11</v>
      </c>
      <c r="C244" s="6" t="s">
        <v>238</v>
      </c>
      <c r="D244" s="5">
        <f>VLOOKUP(C244,'PESO GRUPO'!A$1:B$9,2,FALSE)</f>
        <v>30</v>
      </c>
      <c r="E244" s="6" t="s">
        <v>245</v>
      </c>
      <c r="F244" s="5">
        <f>VLOOKUP(E244,'PESOS SUBGRUPOS'!B$2:C$193,2,FALSE)</f>
        <v>60</v>
      </c>
      <c r="G244" s="6" t="s">
        <v>254</v>
      </c>
      <c r="H244" s="7" t="s">
        <v>15</v>
      </c>
      <c r="I244" s="5">
        <v>10</v>
      </c>
      <c r="M244" s="5" t="s">
        <v>500</v>
      </c>
    </row>
    <row r="245" spans="1:13" x14ac:dyDescent="0.25">
      <c r="A245" s="4">
        <v>256</v>
      </c>
      <c r="B245" s="5" t="s">
        <v>11</v>
      </c>
      <c r="C245" s="6" t="s">
        <v>238</v>
      </c>
      <c r="D245" s="5">
        <f>VLOOKUP(C245,'PESO GRUPO'!A$1:B$9,2,FALSE)</f>
        <v>30</v>
      </c>
      <c r="E245" s="6" t="s">
        <v>245</v>
      </c>
      <c r="F245" s="5">
        <f>VLOOKUP(E245,'PESOS SUBGRUPOS'!B$2:C$193,2,FALSE)</f>
        <v>60</v>
      </c>
      <c r="G245" s="6" t="s">
        <v>255</v>
      </c>
      <c r="H245" s="7" t="s">
        <v>15</v>
      </c>
      <c r="I245" s="5">
        <v>10</v>
      </c>
      <c r="M245" s="5" t="s">
        <v>500</v>
      </c>
    </row>
    <row r="246" spans="1:13" x14ac:dyDescent="0.25">
      <c r="A246" s="4">
        <v>267</v>
      </c>
      <c r="B246" s="5" t="s">
        <v>11</v>
      </c>
      <c r="C246" s="6" t="s">
        <v>238</v>
      </c>
      <c r="D246" s="5">
        <f>VLOOKUP(C246,'PESO GRUPO'!A$1:B$9,2,FALSE)</f>
        <v>30</v>
      </c>
      <c r="E246" s="6" t="s">
        <v>256</v>
      </c>
      <c r="F246" s="5">
        <f>VLOOKUP(E246,'PESOS SUBGRUPOS'!B$2:C$193,2,FALSE)</f>
        <v>60</v>
      </c>
      <c r="G246" s="6" t="s">
        <v>246</v>
      </c>
      <c r="H246" s="7" t="s">
        <v>15</v>
      </c>
      <c r="I246" s="5">
        <v>30</v>
      </c>
      <c r="M246" s="5" t="s">
        <v>500</v>
      </c>
    </row>
    <row r="247" spans="1:13" x14ac:dyDescent="0.25">
      <c r="A247" s="4">
        <v>268</v>
      </c>
      <c r="B247" s="5" t="s">
        <v>11</v>
      </c>
      <c r="C247" s="6" t="s">
        <v>238</v>
      </c>
      <c r="D247" s="5">
        <f>VLOOKUP(C247,'PESO GRUPO'!A$1:B$9,2,FALSE)</f>
        <v>30</v>
      </c>
      <c r="E247" s="6" t="s">
        <v>256</v>
      </c>
      <c r="F247" s="5">
        <f>VLOOKUP(E247,'PESOS SUBGRUPOS'!B$2:C$193,2,FALSE)</f>
        <v>60</v>
      </c>
      <c r="G247" s="6" t="s">
        <v>247</v>
      </c>
      <c r="H247" s="7" t="s">
        <v>15</v>
      </c>
      <c r="I247" s="5">
        <v>10</v>
      </c>
      <c r="M247" s="5" t="s">
        <v>500</v>
      </c>
    </row>
    <row r="248" spans="1:13" x14ac:dyDescent="0.25">
      <c r="A248" s="4">
        <v>269</v>
      </c>
      <c r="B248" s="5" t="s">
        <v>11</v>
      </c>
      <c r="C248" s="6" t="s">
        <v>238</v>
      </c>
      <c r="D248" s="5">
        <f>VLOOKUP(C248,'PESO GRUPO'!A$1:B$9,2,FALSE)</f>
        <v>30</v>
      </c>
      <c r="E248" s="6" t="s">
        <v>256</v>
      </c>
      <c r="F248" s="5">
        <f>VLOOKUP(E248,'PESOS SUBGRUPOS'!B$2:C$193,2,FALSE)</f>
        <v>60</v>
      </c>
      <c r="G248" s="6" t="s">
        <v>257</v>
      </c>
      <c r="H248" s="7" t="s">
        <v>15</v>
      </c>
      <c r="I248" s="5">
        <v>10</v>
      </c>
      <c r="M248" s="5" t="s">
        <v>500</v>
      </c>
    </row>
    <row r="249" spans="1:13" x14ac:dyDescent="0.25">
      <c r="A249" s="4">
        <v>270</v>
      </c>
      <c r="B249" s="5" t="s">
        <v>11</v>
      </c>
      <c r="C249" s="6" t="s">
        <v>238</v>
      </c>
      <c r="D249" s="5">
        <f>VLOOKUP(C249,'PESO GRUPO'!A$1:B$9,2,FALSE)</f>
        <v>30</v>
      </c>
      <c r="E249" s="6" t="s">
        <v>256</v>
      </c>
      <c r="F249" s="5">
        <f>VLOOKUP(E249,'PESOS SUBGRUPOS'!B$2:C$193,2,FALSE)</f>
        <v>60</v>
      </c>
      <c r="G249" s="6" t="s">
        <v>248</v>
      </c>
      <c r="H249" s="7" t="s">
        <v>15</v>
      </c>
      <c r="I249" s="5">
        <v>30</v>
      </c>
      <c r="M249" s="5" t="s">
        <v>500</v>
      </c>
    </row>
    <row r="250" spans="1:13" x14ac:dyDescent="0.25">
      <c r="A250" s="4">
        <v>271</v>
      </c>
      <c r="B250" s="5" t="s">
        <v>11</v>
      </c>
      <c r="C250" s="6" t="s">
        <v>238</v>
      </c>
      <c r="D250" s="5">
        <f>VLOOKUP(C250,'PESO GRUPO'!A$1:B$9,2,FALSE)</f>
        <v>30</v>
      </c>
      <c r="E250" s="6" t="s">
        <v>256</v>
      </c>
      <c r="F250" s="5">
        <f>VLOOKUP(E250,'PESOS SUBGRUPOS'!B$2:C$193,2,FALSE)</f>
        <v>60</v>
      </c>
      <c r="G250" s="6" t="s">
        <v>249</v>
      </c>
      <c r="H250" s="7" t="s">
        <v>15</v>
      </c>
      <c r="I250" s="5">
        <v>10</v>
      </c>
      <c r="M250" s="5" t="s">
        <v>500</v>
      </c>
    </row>
    <row r="251" spans="1:13" x14ac:dyDescent="0.25">
      <c r="A251" s="4">
        <v>272</v>
      </c>
      <c r="B251" s="5" t="s">
        <v>11</v>
      </c>
      <c r="C251" s="6" t="s">
        <v>238</v>
      </c>
      <c r="D251" s="5">
        <f>VLOOKUP(C251,'PESO GRUPO'!A$1:B$9,2,FALSE)</f>
        <v>30</v>
      </c>
      <c r="E251" s="6" t="s">
        <v>256</v>
      </c>
      <c r="F251" s="5">
        <f>VLOOKUP(E251,'PESOS SUBGRUPOS'!B$2:C$193,2,FALSE)</f>
        <v>60</v>
      </c>
      <c r="G251" s="6" t="s">
        <v>258</v>
      </c>
      <c r="H251" s="7" t="s">
        <v>15</v>
      </c>
      <c r="I251" s="5">
        <v>10</v>
      </c>
      <c r="M251" s="5" t="s">
        <v>500</v>
      </c>
    </row>
    <row r="252" spans="1:13" x14ac:dyDescent="0.25">
      <c r="A252" s="4">
        <v>273</v>
      </c>
      <c r="B252" s="5" t="s">
        <v>11</v>
      </c>
      <c r="C252" s="6" t="s">
        <v>238</v>
      </c>
      <c r="D252" s="5">
        <f>VLOOKUP(C252,'PESO GRUPO'!A$1:B$9,2,FALSE)</f>
        <v>30</v>
      </c>
      <c r="E252" s="6" t="s">
        <v>256</v>
      </c>
      <c r="F252" s="5">
        <f>VLOOKUP(E252,'PESOS SUBGRUPOS'!B$2:C$193,2,FALSE)</f>
        <v>60</v>
      </c>
      <c r="G252" s="6" t="s">
        <v>259</v>
      </c>
      <c r="H252" s="7" t="s">
        <v>15</v>
      </c>
      <c r="I252" s="5">
        <v>10</v>
      </c>
      <c r="M252" s="5" t="s">
        <v>500</v>
      </c>
    </row>
    <row r="253" spans="1:13" x14ac:dyDescent="0.25">
      <c r="A253" s="4">
        <v>274</v>
      </c>
      <c r="B253" s="5" t="s">
        <v>11</v>
      </c>
      <c r="C253" s="6" t="s">
        <v>238</v>
      </c>
      <c r="D253" s="5">
        <f>VLOOKUP(C253,'PESO GRUPO'!A$1:B$9,2,FALSE)</f>
        <v>30</v>
      </c>
      <c r="E253" s="6" t="s">
        <v>256</v>
      </c>
      <c r="F253" s="5">
        <f>VLOOKUP(E253,'PESOS SUBGRUPOS'!B$2:C$193,2,FALSE)</f>
        <v>60</v>
      </c>
      <c r="G253" s="6" t="s">
        <v>260</v>
      </c>
      <c r="H253" s="7" t="s">
        <v>15</v>
      </c>
      <c r="I253" s="5">
        <v>10</v>
      </c>
      <c r="M253" s="5" t="s">
        <v>500</v>
      </c>
    </row>
    <row r="254" spans="1:13" x14ac:dyDescent="0.25">
      <c r="A254" s="4">
        <v>275</v>
      </c>
      <c r="B254" s="5" t="s">
        <v>11</v>
      </c>
      <c r="C254" s="6" t="s">
        <v>238</v>
      </c>
      <c r="D254" s="5">
        <f>VLOOKUP(C254,'PESO GRUPO'!A$1:B$9,2,FALSE)</f>
        <v>30</v>
      </c>
      <c r="E254" s="6" t="s">
        <v>256</v>
      </c>
      <c r="F254" s="5">
        <f>VLOOKUP(E254,'PESOS SUBGRUPOS'!B$2:C$193,2,FALSE)</f>
        <v>60</v>
      </c>
      <c r="G254" s="6" t="s">
        <v>253</v>
      </c>
      <c r="H254" s="7" t="s">
        <v>15</v>
      </c>
      <c r="I254" s="5">
        <v>10</v>
      </c>
      <c r="M254" s="5" t="s">
        <v>500</v>
      </c>
    </row>
    <row r="255" spans="1:13" x14ac:dyDescent="0.25">
      <c r="A255" s="4">
        <v>276</v>
      </c>
      <c r="B255" s="5" t="s">
        <v>11</v>
      </c>
      <c r="C255" s="6" t="s">
        <v>238</v>
      </c>
      <c r="D255" s="5">
        <f>VLOOKUP(C255,'PESO GRUPO'!A$1:B$9,2,FALSE)</f>
        <v>30</v>
      </c>
      <c r="E255" s="6" t="s">
        <v>256</v>
      </c>
      <c r="F255" s="5">
        <f>VLOOKUP(E255,'PESOS SUBGRUPOS'!B$2:C$193,2,FALSE)</f>
        <v>60</v>
      </c>
      <c r="G255" s="6" t="s">
        <v>261</v>
      </c>
      <c r="H255" s="7" t="s">
        <v>15</v>
      </c>
      <c r="I255" s="5">
        <v>10</v>
      </c>
      <c r="M255" s="5" t="s">
        <v>500</v>
      </c>
    </row>
    <row r="256" spans="1:13" x14ac:dyDescent="0.25">
      <c r="A256" s="4">
        <v>277</v>
      </c>
      <c r="B256" s="5" t="s">
        <v>11</v>
      </c>
      <c r="C256" s="6" t="s">
        <v>238</v>
      </c>
      <c r="D256" s="5">
        <f>VLOOKUP(C256,'PESO GRUPO'!A$1:B$9,2,FALSE)</f>
        <v>30</v>
      </c>
      <c r="E256" s="6" t="s">
        <v>262</v>
      </c>
      <c r="F256" s="5">
        <f>VLOOKUP(E256,'PESOS SUBGRUPOS'!B$2:C$193,2,FALSE)</f>
        <v>60</v>
      </c>
      <c r="G256" s="6" t="s">
        <v>246</v>
      </c>
      <c r="H256" s="7" t="s">
        <v>15</v>
      </c>
      <c r="I256" s="5">
        <v>30</v>
      </c>
      <c r="M256" s="5" t="s">
        <v>500</v>
      </c>
    </row>
    <row r="257" spans="1:13" x14ac:dyDescent="0.25">
      <c r="A257" s="4">
        <v>278</v>
      </c>
      <c r="B257" s="5" t="s">
        <v>11</v>
      </c>
      <c r="C257" s="6" t="s">
        <v>238</v>
      </c>
      <c r="D257" s="5">
        <f>VLOOKUP(C257,'PESO GRUPO'!A$1:B$9,2,FALSE)</f>
        <v>30</v>
      </c>
      <c r="E257" s="6" t="s">
        <v>262</v>
      </c>
      <c r="F257" s="5">
        <f>VLOOKUP(E257,'PESOS SUBGRUPOS'!B$2:C$193,2,FALSE)</f>
        <v>60</v>
      </c>
      <c r="G257" s="6" t="s">
        <v>247</v>
      </c>
      <c r="H257" s="7" t="s">
        <v>15</v>
      </c>
      <c r="I257" s="5">
        <v>10</v>
      </c>
      <c r="M257" s="5" t="s">
        <v>500</v>
      </c>
    </row>
    <row r="258" spans="1:13" x14ac:dyDescent="0.25">
      <c r="A258" s="4">
        <v>279</v>
      </c>
      <c r="B258" s="5" t="s">
        <v>11</v>
      </c>
      <c r="C258" s="6" t="s">
        <v>238</v>
      </c>
      <c r="D258" s="5">
        <f>VLOOKUP(C258,'PESO GRUPO'!A$1:B$9,2,FALSE)</f>
        <v>30</v>
      </c>
      <c r="E258" s="6" t="s">
        <v>262</v>
      </c>
      <c r="F258" s="5">
        <f>VLOOKUP(E258,'PESOS SUBGRUPOS'!B$2:C$193,2,FALSE)</f>
        <v>60</v>
      </c>
      <c r="G258" s="6" t="s">
        <v>257</v>
      </c>
      <c r="H258" s="7" t="s">
        <v>15</v>
      </c>
      <c r="I258" s="5">
        <v>10</v>
      </c>
      <c r="M258" s="5" t="s">
        <v>500</v>
      </c>
    </row>
    <row r="259" spans="1:13" x14ac:dyDescent="0.25">
      <c r="A259" s="4">
        <v>280</v>
      </c>
      <c r="B259" s="5" t="s">
        <v>11</v>
      </c>
      <c r="C259" s="6" t="s">
        <v>238</v>
      </c>
      <c r="D259" s="5">
        <f>VLOOKUP(C259,'PESO GRUPO'!A$1:B$9,2,FALSE)</f>
        <v>30</v>
      </c>
      <c r="E259" s="6" t="s">
        <v>262</v>
      </c>
      <c r="F259" s="5">
        <f>VLOOKUP(E259,'PESOS SUBGRUPOS'!B$2:C$193,2,FALSE)</f>
        <v>60</v>
      </c>
      <c r="G259" s="6" t="s">
        <v>248</v>
      </c>
      <c r="H259" s="7" t="s">
        <v>15</v>
      </c>
      <c r="I259" s="5">
        <v>30</v>
      </c>
      <c r="M259" s="5" t="s">
        <v>500</v>
      </c>
    </row>
    <row r="260" spans="1:13" x14ac:dyDescent="0.25">
      <c r="A260" s="4">
        <v>281</v>
      </c>
      <c r="B260" s="5" t="s">
        <v>11</v>
      </c>
      <c r="C260" s="6" t="s">
        <v>238</v>
      </c>
      <c r="D260" s="5">
        <f>VLOOKUP(C260,'PESO GRUPO'!A$1:B$9,2,FALSE)</f>
        <v>30</v>
      </c>
      <c r="E260" s="6" t="s">
        <v>262</v>
      </c>
      <c r="F260" s="5">
        <f>VLOOKUP(E260,'PESOS SUBGRUPOS'!B$2:C$193,2,FALSE)</f>
        <v>60</v>
      </c>
      <c r="G260" s="6" t="s">
        <v>263</v>
      </c>
      <c r="H260" s="7" t="s">
        <v>15</v>
      </c>
      <c r="I260" s="5">
        <v>10</v>
      </c>
      <c r="M260" s="5" t="s">
        <v>500</v>
      </c>
    </row>
    <row r="261" spans="1:13" x14ac:dyDescent="0.25">
      <c r="A261" s="4">
        <v>282</v>
      </c>
      <c r="B261" s="5" t="s">
        <v>11</v>
      </c>
      <c r="C261" s="6" t="s">
        <v>238</v>
      </c>
      <c r="D261" s="5">
        <f>VLOOKUP(C261,'PESO GRUPO'!A$1:B$9,2,FALSE)</f>
        <v>30</v>
      </c>
      <c r="E261" s="6" t="s">
        <v>262</v>
      </c>
      <c r="F261" s="5">
        <f>VLOOKUP(E261,'PESOS SUBGRUPOS'!B$2:C$193,2,FALSE)</f>
        <v>60</v>
      </c>
      <c r="G261" s="6" t="s">
        <v>258</v>
      </c>
      <c r="H261" s="7" t="s">
        <v>15</v>
      </c>
      <c r="I261" s="5">
        <v>10</v>
      </c>
      <c r="M261" s="5" t="s">
        <v>500</v>
      </c>
    </row>
    <row r="262" spans="1:13" x14ac:dyDescent="0.25">
      <c r="A262" s="4">
        <v>283</v>
      </c>
      <c r="B262" s="5" t="s">
        <v>11</v>
      </c>
      <c r="C262" s="6" t="s">
        <v>238</v>
      </c>
      <c r="D262" s="5">
        <f>VLOOKUP(C262,'PESO GRUPO'!A$1:B$9,2,FALSE)</f>
        <v>30</v>
      </c>
      <c r="E262" s="6" t="s">
        <v>262</v>
      </c>
      <c r="F262" s="5">
        <f>VLOOKUP(E262,'PESOS SUBGRUPOS'!B$2:C$193,2,FALSE)</f>
        <v>60</v>
      </c>
      <c r="G262" s="6" t="s">
        <v>259</v>
      </c>
      <c r="H262" s="7" t="s">
        <v>15</v>
      </c>
      <c r="I262" s="5">
        <v>10</v>
      </c>
      <c r="M262" s="5" t="s">
        <v>500</v>
      </c>
    </row>
    <row r="263" spans="1:13" x14ac:dyDescent="0.25">
      <c r="A263" s="4">
        <v>284</v>
      </c>
      <c r="B263" s="5" t="s">
        <v>11</v>
      </c>
      <c r="C263" s="6" t="s">
        <v>238</v>
      </c>
      <c r="D263" s="5">
        <f>VLOOKUP(C263,'PESO GRUPO'!A$1:B$9,2,FALSE)</f>
        <v>30</v>
      </c>
      <c r="E263" s="6" t="s">
        <v>262</v>
      </c>
      <c r="F263" s="5">
        <f>VLOOKUP(E263,'PESOS SUBGRUPOS'!B$2:C$193,2,FALSE)</f>
        <v>60</v>
      </c>
      <c r="G263" s="6" t="s">
        <v>260</v>
      </c>
      <c r="H263" s="7" t="s">
        <v>15</v>
      </c>
      <c r="I263" s="5">
        <v>10</v>
      </c>
      <c r="M263" s="5" t="s">
        <v>500</v>
      </c>
    </row>
    <row r="264" spans="1:13" x14ac:dyDescent="0.25">
      <c r="A264" s="4">
        <v>285</v>
      </c>
      <c r="B264" s="5" t="s">
        <v>11</v>
      </c>
      <c r="C264" s="6" t="s">
        <v>238</v>
      </c>
      <c r="D264" s="5">
        <f>VLOOKUP(C264,'PESO GRUPO'!A$1:B$9,2,FALSE)</f>
        <v>30</v>
      </c>
      <c r="E264" s="6" t="s">
        <v>262</v>
      </c>
      <c r="F264" s="5">
        <f>VLOOKUP(E264,'PESOS SUBGRUPOS'!B$2:C$193,2,FALSE)</f>
        <v>60</v>
      </c>
      <c r="G264" s="6" t="s">
        <v>253</v>
      </c>
      <c r="H264" s="7" t="s">
        <v>15</v>
      </c>
      <c r="I264" s="5">
        <v>10</v>
      </c>
      <c r="M264" s="5" t="s">
        <v>500</v>
      </c>
    </row>
    <row r="265" spans="1:13" x14ac:dyDescent="0.25">
      <c r="A265" s="4">
        <v>286</v>
      </c>
      <c r="B265" s="5" t="s">
        <v>11</v>
      </c>
      <c r="C265" s="6" t="s">
        <v>238</v>
      </c>
      <c r="D265" s="5">
        <f>VLOOKUP(C265,'PESO GRUPO'!A$1:B$9,2,FALSE)</f>
        <v>30</v>
      </c>
      <c r="E265" s="6" t="s">
        <v>262</v>
      </c>
      <c r="F265" s="5">
        <f>VLOOKUP(E265,'PESOS SUBGRUPOS'!B$2:C$193,2,FALSE)</f>
        <v>60</v>
      </c>
      <c r="G265" s="6" t="s">
        <v>261</v>
      </c>
      <c r="H265" s="7" t="s">
        <v>15</v>
      </c>
      <c r="I265" s="5">
        <v>10</v>
      </c>
      <c r="M265" s="5" t="s">
        <v>500</v>
      </c>
    </row>
    <row r="266" spans="1:13" x14ac:dyDescent="0.25">
      <c r="A266" s="4">
        <v>287</v>
      </c>
      <c r="B266" s="5" t="s">
        <v>11</v>
      </c>
      <c r="C266" s="6" t="s">
        <v>238</v>
      </c>
      <c r="D266" s="5">
        <f>VLOOKUP(C266,'PESO GRUPO'!A$1:B$9,2,FALSE)</f>
        <v>30</v>
      </c>
      <c r="E266" s="6" t="s">
        <v>264</v>
      </c>
      <c r="F266" s="5">
        <f>VLOOKUP(E266,'PESOS SUBGRUPOS'!B$2:C$193,2,FALSE)</f>
        <v>40</v>
      </c>
      <c r="G266" s="6" t="s">
        <v>246</v>
      </c>
      <c r="H266" s="7" t="s">
        <v>15</v>
      </c>
      <c r="I266" s="5">
        <v>30</v>
      </c>
      <c r="M266" s="5" t="s">
        <v>500</v>
      </c>
    </row>
    <row r="267" spans="1:13" x14ac:dyDescent="0.25">
      <c r="A267" s="4">
        <v>288</v>
      </c>
      <c r="B267" s="5" t="s">
        <v>11</v>
      </c>
      <c r="C267" s="6" t="s">
        <v>238</v>
      </c>
      <c r="D267" s="5">
        <f>VLOOKUP(C267,'PESO GRUPO'!A$1:B$9,2,FALSE)</f>
        <v>30</v>
      </c>
      <c r="E267" s="6" t="s">
        <v>264</v>
      </c>
      <c r="F267" s="5">
        <f>VLOOKUP(E267,'PESOS SUBGRUPOS'!B$2:C$193,2,FALSE)</f>
        <v>40</v>
      </c>
      <c r="G267" s="6" t="s">
        <v>247</v>
      </c>
      <c r="H267" s="7" t="s">
        <v>15</v>
      </c>
      <c r="I267" s="5">
        <v>10</v>
      </c>
      <c r="M267" s="5" t="s">
        <v>500</v>
      </c>
    </row>
    <row r="268" spans="1:13" x14ac:dyDescent="0.25">
      <c r="A268" s="4">
        <v>289</v>
      </c>
      <c r="B268" s="5" t="s">
        <v>11</v>
      </c>
      <c r="C268" s="6" t="s">
        <v>238</v>
      </c>
      <c r="D268" s="5">
        <f>VLOOKUP(C268,'PESO GRUPO'!A$1:B$9,2,FALSE)</f>
        <v>30</v>
      </c>
      <c r="E268" s="6" t="s">
        <v>264</v>
      </c>
      <c r="F268" s="5">
        <f>VLOOKUP(E268,'PESOS SUBGRUPOS'!B$2:C$193,2,FALSE)</f>
        <v>40</v>
      </c>
      <c r="G268" s="6" t="s">
        <v>248</v>
      </c>
      <c r="H268" s="7" t="s">
        <v>15</v>
      </c>
      <c r="I268" s="5">
        <v>30</v>
      </c>
      <c r="M268" s="5" t="s">
        <v>500</v>
      </c>
    </row>
    <row r="269" spans="1:13" x14ac:dyDescent="0.25">
      <c r="A269" s="4">
        <v>290</v>
      </c>
      <c r="B269" s="5" t="s">
        <v>11</v>
      </c>
      <c r="C269" s="6" t="s">
        <v>238</v>
      </c>
      <c r="D269" s="5">
        <f>VLOOKUP(C269,'PESO GRUPO'!A$1:B$9,2,FALSE)</f>
        <v>30</v>
      </c>
      <c r="E269" s="6" t="s">
        <v>264</v>
      </c>
      <c r="F269" s="5">
        <f>VLOOKUP(E269,'PESOS SUBGRUPOS'!B$2:C$193,2,FALSE)</f>
        <v>40</v>
      </c>
      <c r="G269" s="6" t="s">
        <v>249</v>
      </c>
      <c r="H269" s="7" t="s">
        <v>15</v>
      </c>
      <c r="I269" s="5">
        <v>10</v>
      </c>
      <c r="M269" s="5" t="s">
        <v>500</v>
      </c>
    </row>
    <row r="270" spans="1:13" x14ac:dyDescent="0.25">
      <c r="A270" s="4">
        <v>291</v>
      </c>
      <c r="B270" s="5" t="s">
        <v>11</v>
      </c>
      <c r="C270" s="6" t="s">
        <v>238</v>
      </c>
      <c r="D270" s="5">
        <f>VLOOKUP(C270,'PESO GRUPO'!A$1:B$9,2,FALSE)</f>
        <v>30</v>
      </c>
      <c r="E270" s="6" t="s">
        <v>264</v>
      </c>
      <c r="F270" s="5">
        <f>VLOOKUP(E270,'PESOS SUBGRUPOS'!B$2:C$193,2,FALSE)</f>
        <v>40</v>
      </c>
      <c r="G270" s="6" t="s">
        <v>258</v>
      </c>
      <c r="H270" s="7" t="s">
        <v>15</v>
      </c>
      <c r="I270" s="5">
        <v>10</v>
      </c>
      <c r="M270" s="5" t="s">
        <v>500</v>
      </c>
    </row>
    <row r="271" spans="1:13" x14ac:dyDescent="0.25">
      <c r="A271" s="4">
        <v>292</v>
      </c>
      <c r="B271" s="5" t="s">
        <v>11</v>
      </c>
      <c r="C271" s="6" t="s">
        <v>238</v>
      </c>
      <c r="D271" s="5">
        <f>VLOOKUP(C271,'PESO GRUPO'!A$1:B$9,2,FALSE)</f>
        <v>30</v>
      </c>
      <c r="E271" s="6" t="s">
        <v>264</v>
      </c>
      <c r="F271" s="5">
        <f>VLOOKUP(E271,'PESOS SUBGRUPOS'!B$2:C$193,2,FALSE)</f>
        <v>40</v>
      </c>
      <c r="G271" s="6" t="s">
        <v>251</v>
      </c>
      <c r="H271" s="7" t="s">
        <v>15</v>
      </c>
      <c r="I271" s="5">
        <v>10</v>
      </c>
      <c r="M271" s="5" t="s">
        <v>500</v>
      </c>
    </row>
    <row r="272" spans="1:13" x14ac:dyDescent="0.25">
      <c r="A272" s="4">
        <v>293</v>
      </c>
      <c r="B272" s="5" t="s">
        <v>11</v>
      </c>
      <c r="C272" s="6" t="s">
        <v>238</v>
      </c>
      <c r="D272" s="5">
        <f>VLOOKUP(C272,'PESO GRUPO'!A$1:B$9,2,FALSE)</f>
        <v>30</v>
      </c>
      <c r="E272" s="6" t="s">
        <v>264</v>
      </c>
      <c r="F272" s="5">
        <f>VLOOKUP(E272,'PESOS SUBGRUPOS'!B$2:C$193,2,FALSE)</f>
        <v>40</v>
      </c>
      <c r="G272" s="6" t="s">
        <v>265</v>
      </c>
      <c r="H272" s="7" t="s">
        <v>15</v>
      </c>
      <c r="I272" s="5">
        <v>10</v>
      </c>
      <c r="M272" s="5" t="s">
        <v>500</v>
      </c>
    </row>
    <row r="273" spans="1:13" x14ac:dyDescent="0.25">
      <c r="A273" s="4">
        <v>294</v>
      </c>
      <c r="B273" s="5" t="s">
        <v>11</v>
      </c>
      <c r="C273" s="6" t="s">
        <v>238</v>
      </c>
      <c r="D273" s="5">
        <f>VLOOKUP(C273,'PESO GRUPO'!A$1:B$9,2,FALSE)</f>
        <v>30</v>
      </c>
      <c r="E273" s="6" t="s">
        <v>264</v>
      </c>
      <c r="F273" s="5">
        <f>VLOOKUP(E273,'PESOS SUBGRUPOS'!B$2:C$193,2,FALSE)</f>
        <v>40</v>
      </c>
      <c r="G273" s="6" t="s">
        <v>253</v>
      </c>
      <c r="H273" s="7" t="s">
        <v>15</v>
      </c>
      <c r="I273" s="5">
        <v>10</v>
      </c>
      <c r="M273" s="5" t="s">
        <v>500</v>
      </c>
    </row>
    <row r="274" spans="1:13" x14ac:dyDescent="0.25">
      <c r="A274" s="4">
        <v>295</v>
      </c>
      <c r="B274" s="5" t="s">
        <v>11</v>
      </c>
      <c r="C274" s="6" t="s">
        <v>238</v>
      </c>
      <c r="D274" s="5">
        <f>VLOOKUP(C274,'PESO GRUPO'!A$1:B$9,2,FALSE)</f>
        <v>30</v>
      </c>
      <c r="E274" s="6" t="s">
        <v>264</v>
      </c>
      <c r="F274" s="5">
        <f>VLOOKUP(E274,'PESOS SUBGRUPOS'!B$2:C$193,2,FALSE)</f>
        <v>40</v>
      </c>
      <c r="G274" s="6" t="s">
        <v>266</v>
      </c>
      <c r="H274" s="7" t="s">
        <v>15</v>
      </c>
      <c r="I274" s="5">
        <v>10</v>
      </c>
      <c r="M274" s="5" t="s">
        <v>500</v>
      </c>
    </row>
    <row r="275" spans="1:13" x14ac:dyDescent="0.25">
      <c r="A275" s="4">
        <v>296</v>
      </c>
      <c r="B275" s="5" t="s">
        <v>11</v>
      </c>
      <c r="C275" s="6" t="s">
        <v>238</v>
      </c>
      <c r="D275" s="5">
        <f>VLOOKUP(C275,'PESO GRUPO'!A$1:B$9,2,FALSE)</f>
        <v>30</v>
      </c>
      <c r="E275" s="6" t="s">
        <v>268</v>
      </c>
      <c r="F275" s="5">
        <f>VLOOKUP(E275,'PESOS SUBGRUPOS'!B$2:C$193,2,FALSE)</f>
        <v>40</v>
      </c>
      <c r="G275" s="6" t="s">
        <v>267</v>
      </c>
      <c r="H275" s="7" t="s">
        <v>15</v>
      </c>
      <c r="I275" s="5">
        <v>10</v>
      </c>
      <c r="M275" s="5" t="s">
        <v>500</v>
      </c>
    </row>
    <row r="276" spans="1:13" x14ac:dyDescent="0.25">
      <c r="A276" s="4">
        <v>297</v>
      </c>
      <c r="B276" s="5" t="s">
        <v>11</v>
      </c>
      <c r="C276" s="6" t="s">
        <v>238</v>
      </c>
      <c r="D276" s="5">
        <f>VLOOKUP(C276,'PESO GRUPO'!A$1:B$9,2,FALSE)</f>
        <v>30</v>
      </c>
      <c r="E276" s="6" t="s">
        <v>268</v>
      </c>
      <c r="F276" s="5">
        <f>VLOOKUP(E276,'PESOS SUBGRUPOS'!B$2:C$193,2,FALSE)</f>
        <v>40</v>
      </c>
      <c r="G276" s="6" t="s">
        <v>153</v>
      </c>
      <c r="H276" s="7" t="s">
        <v>15</v>
      </c>
      <c r="I276" s="5">
        <v>10</v>
      </c>
      <c r="M276" s="5" t="s">
        <v>500</v>
      </c>
    </row>
    <row r="277" spans="1:13" x14ac:dyDescent="0.25">
      <c r="A277" s="4">
        <v>298</v>
      </c>
      <c r="B277" s="5" t="s">
        <v>11</v>
      </c>
      <c r="C277" s="6" t="s">
        <v>238</v>
      </c>
      <c r="D277" s="5">
        <f>VLOOKUP(C277,'PESO GRUPO'!A$1:B$9,2,FALSE)</f>
        <v>30</v>
      </c>
      <c r="E277" s="6" t="s">
        <v>268</v>
      </c>
      <c r="F277" s="5">
        <f>VLOOKUP(E277,'PESOS SUBGRUPOS'!B$2:C$193,2,FALSE)</f>
        <v>40</v>
      </c>
      <c r="G277" s="6" t="s">
        <v>269</v>
      </c>
      <c r="H277" s="7" t="s">
        <v>15</v>
      </c>
      <c r="I277" s="5">
        <v>30</v>
      </c>
      <c r="M277" s="5" t="s">
        <v>500</v>
      </c>
    </row>
    <row r="278" spans="1:13" x14ac:dyDescent="0.25">
      <c r="A278" s="4">
        <v>299</v>
      </c>
      <c r="B278" s="5" t="s">
        <v>11</v>
      </c>
      <c r="C278" s="6" t="s">
        <v>238</v>
      </c>
      <c r="D278" s="5">
        <f>VLOOKUP(C278,'PESO GRUPO'!A$1:B$9,2,FALSE)</f>
        <v>30</v>
      </c>
      <c r="E278" s="6" t="s">
        <v>270</v>
      </c>
      <c r="F278" s="5">
        <f>VLOOKUP(E278,'PESOS SUBGRUPOS'!B$2:C$193,2,FALSE)</f>
        <v>80</v>
      </c>
      <c r="G278" s="6" t="s">
        <v>84</v>
      </c>
      <c r="H278" s="7" t="s">
        <v>15</v>
      </c>
      <c r="I278" s="5">
        <v>10</v>
      </c>
      <c r="M278" s="5" t="s">
        <v>500</v>
      </c>
    </row>
    <row r="279" spans="1:13" x14ac:dyDescent="0.25">
      <c r="A279" s="4">
        <v>300</v>
      </c>
      <c r="B279" s="5" t="s">
        <v>11</v>
      </c>
      <c r="C279" s="6" t="s">
        <v>238</v>
      </c>
      <c r="D279" s="5">
        <f>VLOOKUP(C279,'PESO GRUPO'!A$1:B$9,2,FALSE)</f>
        <v>30</v>
      </c>
      <c r="E279" s="6" t="s">
        <v>270</v>
      </c>
      <c r="F279" s="5">
        <f>VLOOKUP(E279,'PESOS SUBGRUPOS'!B$2:C$193,2,FALSE)</f>
        <v>80</v>
      </c>
      <c r="G279" s="6" t="s">
        <v>271</v>
      </c>
      <c r="H279" s="7" t="s">
        <v>15</v>
      </c>
      <c r="I279" s="5">
        <v>10</v>
      </c>
      <c r="M279" s="5" t="s">
        <v>500</v>
      </c>
    </row>
    <row r="280" spans="1:13" x14ac:dyDescent="0.25">
      <c r="A280" s="4">
        <v>301</v>
      </c>
      <c r="B280" s="5" t="s">
        <v>11</v>
      </c>
      <c r="C280" s="6" t="s">
        <v>238</v>
      </c>
      <c r="D280" s="5">
        <f>VLOOKUP(C280,'PESO GRUPO'!A$1:B$9,2,FALSE)</f>
        <v>30</v>
      </c>
      <c r="E280" s="6" t="s">
        <v>270</v>
      </c>
      <c r="F280" s="5">
        <f>VLOOKUP(E280,'PESOS SUBGRUPOS'!B$2:C$193,2,FALSE)</f>
        <v>80</v>
      </c>
      <c r="G280" s="6" t="s">
        <v>272</v>
      </c>
      <c r="H280" s="7" t="s">
        <v>15</v>
      </c>
      <c r="I280" s="5">
        <v>10</v>
      </c>
      <c r="M280" s="5" t="s">
        <v>500</v>
      </c>
    </row>
    <row r="281" spans="1:13" x14ac:dyDescent="0.25">
      <c r="A281" s="4">
        <v>302</v>
      </c>
      <c r="B281" s="5" t="s">
        <v>11</v>
      </c>
      <c r="C281" s="6" t="s">
        <v>238</v>
      </c>
      <c r="D281" s="5">
        <f>VLOOKUP(C281,'PESO GRUPO'!A$1:B$9,2,FALSE)</f>
        <v>30</v>
      </c>
      <c r="E281" s="6" t="s">
        <v>270</v>
      </c>
      <c r="F281" s="5">
        <f>VLOOKUP(E281,'PESOS SUBGRUPOS'!B$2:C$193,2,FALSE)</f>
        <v>80</v>
      </c>
      <c r="G281" s="6" t="s">
        <v>273</v>
      </c>
      <c r="H281" s="7" t="s">
        <v>15</v>
      </c>
      <c r="I281" s="5">
        <v>10</v>
      </c>
      <c r="M281" s="5" t="s">
        <v>500</v>
      </c>
    </row>
    <row r="282" spans="1:13" x14ac:dyDescent="0.25">
      <c r="A282" s="4">
        <v>393</v>
      </c>
      <c r="B282" s="5" t="s">
        <v>11</v>
      </c>
      <c r="C282" s="6" t="s">
        <v>238</v>
      </c>
      <c r="D282" s="5">
        <f>VLOOKUP(C282,'PESO GRUPO'!A$1:B$9,2,FALSE)</f>
        <v>30</v>
      </c>
      <c r="E282" s="6" t="s">
        <v>490</v>
      </c>
      <c r="F282" s="5">
        <f>VLOOKUP(E282,'PESOS SUBGRUPOS'!B$2:C$193,2,FALSE)</f>
        <v>100</v>
      </c>
      <c r="G282" s="6" t="s">
        <v>275</v>
      </c>
      <c r="H282" s="7" t="s">
        <v>15</v>
      </c>
      <c r="I282" s="5">
        <v>10</v>
      </c>
      <c r="M282" s="5" t="s">
        <v>500</v>
      </c>
    </row>
    <row r="283" spans="1:13" x14ac:dyDescent="0.25">
      <c r="A283" s="4">
        <v>394</v>
      </c>
      <c r="B283" s="5" t="s">
        <v>11</v>
      </c>
      <c r="C283" s="6" t="s">
        <v>238</v>
      </c>
      <c r="D283" s="5">
        <f>VLOOKUP(C283,'PESO GRUPO'!A$1:B$9,2,FALSE)</f>
        <v>30</v>
      </c>
      <c r="E283" s="6" t="s">
        <v>490</v>
      </c>
      <c r="F283" s="5">
        <f>VLOOKUP(E283,'PESOS SUBGRUPOS'!B$2:C$193,2,FALSE)</f>
        <v>100</v>
      </c>
      <c r="G283" s="6" t="s">
        <v>153</v>
      </c>
      <c r="H283" s="7" t="s">
        <v>15</v>
      </c>
      <c r="I283" s="5">
        <v>10</v>
      </c>
      <c r="M283" s="5" t="s">
        <v>500</v>
      </c>
    </row>
    <row r="284" spans="1:13" x14ac:dyDescent="0.25">
      <c r="A284" s="4">
        <v>395</v>
      </c>
      <c r="B284" s="5" t="s">
        <v>11</v>
      </c>
      <c r="C284" s="6" t="s">
        <v>238</v>
      </c>
      <c r="D284" s="5">
        <f>VLOOKUP(C284,'PESO GRUPO'!A$1:B$9,2,FALSE)</f>
        <v>30</v>
      </c>
      <c r="E284" s="6" t="s">
        <v>490</v>
      </c>
      <c r="F284" s="5">
        <f>VLOOKUP(E284,'PESOS SUBGRUPOS'!B$2:C$193,2,FALSE)</f>
        <v>100</v>
      </c>
      <c r="G284" s="6" t="s">
        <v>240</v>
      </c>
      <c r="H284" s="7" t="s">
        <v>15</v>
      </c>
      <c r="I284" s="5">
        <v>10</v>
      </c>
      <c r="M284" s="5" t="s">
        <v>500</v>
      </c>
    </row>
    <row r="285" spans="1:13" x14ac:dyDescent="0.25">
      <c r="A285" s="4">
        <v>396</v>
      </c>
      <c r="B285" s="5" t="s">
        <v>11</v>
      </c>
      <c r="C285" s="6" t="s">
        <v>238</v>
      </c>
      <c r="D285" s="5">
        <f>VLOOKUP(C285,'PESO GRUPO'!A$1:B$9,2,FALSE)</f>
        <v>30</v>
      </c>
      <c r="E285" s="6" t="s">
        <v>490</v>
      </c>
      <c r="F285" s="5">
        <f>VLOOKUP(E285,'PESOS SUBGRUPOS'!B$2:C$193,2,FALSE)</f>
        <v>100</v>
      </c>
      <c r="G285" s="6" t="s">
        <v>499</v>
      </c>
      <c r="H285" s="7" t="s">
        <v>15</v>
      </c>
      <c r="I285" s="5">
        <v>60</v>
      </c>
      <c r="M285" s="5" t="s">
        <v>500</v>
      </c>
    </row>
    <row r="286" spans="1:13" x14ac:dyDescent="0.25">
      <c r="A286" s="4">
        <v>397</v>
      </c>
      <c r="B286" s="5" t="s">
        <v>11</v>
      </c>
      <c r="C286" s="6" t="s">
        <v>238</v>
      </c>
      <c r="D286" s="5">
        <f>VLOOKUP(C286,'PESO GRUPO'!A$1:B$9,2,FALSE)</f>
        <v>30</v>
      </c>
      <c r="E286" s="6" t="s">
        <v>490</v>
      </c>
      <c r="F286" s="5">
        <f>VLOOKUP(E286,'PESOS SUBGRUPOS'!B$2:C$193,2,FALSE)</f>
        <v>100</v>
      </c>
      <c r="G286" s="6" t="s">
        <v>276</v>
      </c>
      <c r="H286" s="7" t="s">
        <v>15</v>
      </c>
      <c r="I286" s="5">
        <v>10</v>
      </c>
      <c r="M286" s="5" t="s">
        <v>500</v>
      </c>
    </row>
    <row r="287" spans="1:13" x14ac:dyDescent="0.25">
      <c r="A287" s="4">
        <v>398</v>
      </c>
      <c r="B287" s="5" t="s">
        <v>11</v>
      </c>
      <c r="C287" s="6" t="s">
        <v>238</v>
      </c>
      <c r="D287" s="5">
        <f>VLOOKUP(C287,'PESO GRUPO'!A$1:B$9,2,FALSE)</f>
        <v>30</v>
      </c>
      <c r="E287" s="6" t="s">
        <v>490</v>
      </c>
      <c r="F287" s="5">
        <f>VLOOKUP(E287,'PESOS SUBGRUPOS'!B$2:C$193,2,FALSE)</f>
        <v>100</v>
      </c>
      <c r="G287" s="6" t="s">
        <v>277</v>
      </c>
      <c r="H287" s="7" t="s">
        <v>15</v>
      </c>
      <c r="I287" s="5">
        <v>10</v>
      </c>
      <c r="M287" s="5" t="s">
        <v>500</v>
      </c>
    </row>
    <row r="288" spans="1:13" x14ac:dyDescent="0.25">
      <c r="A288" s="4">
        <v>399</v>
      </c>
      <c r="B288" s="5" t="s">
        <v>11</v>
      </c>
      <c r="C288" s="6" t="s">
        <v>238</v>
      </c>
      <c r="D288" s="5">
        <f>VLOOKUP(C288,'PESO GRUPO'!A$1:B$9,2,FALSE)</f>
        <v>30</v>
      </c>
      <c r="E288" s="6" t="s">
        <v>490</v>
      </c>
      <c r="F288" s="5">
        <f>VLOOKUP(E288,'PESOS SUBGRUPOS'!B$2:C$193,2,FALSE)</f>
        <v>100</v>
      </c>
      <c r="G288" s="6" t="s">
        <v>278</v>
      </c>
      <c r="H288" s="7" t="s">
        <v>15</v>
      </c>
      <c r="I288" s="5">
        <v>10</v>
      </c>
      <c r="M288" s="5" t="s">
        <v>500</v>
      </c>
    </row>
    <row r="289" spans="1:13" x14ac:dyDescent="0.25">
      <c r="A289" s="4">
        <v>418</v>
      </c>
      <c r="B289" s="5" t="s">
        <v>11</v>
      </c>
      <c r="C289" s="6" t="s">
        <v>238</v>
      </c>
      <c r="D289" s="5">
        <f>VLOOKUP(C289,'PESO GRUPO'!A$1:B$9,2,FALSE)</f>
        <v>30</v>
      </c>
      <c r="E289" s="6" t="s">
        <v>205</v>
      </c>
      <c r="F289" s="5">
        <f>VLOOKUP(E289,'PESOS SUBGRUPOS'!B$2:C$193,2,FALSE)</f>
        <v>100</v>
      </c>
      <c r="G289" s="6" t="s">
        <v>153</v>
      </c>
      <c r="H289" s="7" t="s">
        <v>15</v>
      </c>
      <c r="I289" s="5">
        <v>10</v>
      </c>
      <c r="M289" s="5" t="s">
        <v>500</v>
      </c>
    </row>
    <row r="290" spans="1:13" x14ac:dyDescent="0.25">
      <c r="A290" s="4">
        <v>419</v>
      </c>
      <c r="B290" s="5" t="s">
        <v>11</v>
      </c>
      <c r="C290" s="6" t="s">
        <v>238</v>
      </c>
      <c r="D290" s="5">
        <f>VLOOKUP(C290,'PESO GRUPO'!A$1:B$9,2,FALSE)</f>
        <v>30</v>
      </c>
      <c r="E290" s="6" t="s">
        <v>205</v>
      </c>
      <c r="F290" s="5">
        <f>VLOOKUP(E290,'PESOS SUBGRUPOS'!B$2:C$193,2,FALSE)</f>
        <v>100</v>
      </c>
      <c r="G290" s="6" t="s">
        <v>240</v>
      </c>
      <c r="H290" s="7" t="s">
        <v>15</v>
      </c>
      <c r="I290" s="5">
        <v>10</v>
      </c>
      <c r="M290" s="5" t="s">
        <v>500</v>
      </c>
    </row>
    <row r="291" spans="1:13" x14ac:dyDescent="0.25">
      <c r="A291" s="4">
        <v>420</v>
      </c>
      <c r="B291" s="5" t="s">
        <v>11</v>
      </c>
      <c r="C291" s="6" t="s">
        <v>238</v>
      </c>
      <c r="D291" s="5">
        <f>VLOOKUP(C291,'PESO GRUPO'!A$1:B$9,2,FALSE)</f>
        <v>30</v>
      </c>
      <c r="E291" s="6" t="s">
        <v>205</v>
      </c>
      <c r="F291" s="5">
        <f>VLOOKUP(E291,'PESOS SUBGRUPOS'!B$2:C$193,2,FALSE)</f>
        <v>100</v>
      </c>
      <c r="G291" s="6" t="s">
        <v>282</v>
      </c>
      <c r="H291" s="7" t="s">
        <v>15</v>
      </c>
      <c r="I291" s="5">
        <v>10</v>
      </c>
      <c r="M291" s="5" t="s">
        <v>500</v>
      </c>
    </row>
    <row r="292" spans="1:13" x14ac:dyDescent="0.25">
      <c r="A292" s="4">
        <v>421</v>
      </c>
      <c r="B292" s="5" t="s">
        <v>11</v>
      </c>
      <c r="C292" s="6" t="s">
        <v>238</v>
      </c>
      <c r="D292" s="5">
        <f>VLOOKUP(C292,'PESO GRUPO'!A$1:B$9,2,FALSE)</f>
        <v>30</v>
      </c>
      <c r="E292" s="6" t="s">
        <v>205</v>
      </c>
      <c r="F292" s="5">
        <f>VLOOKUP(E292,'PESOS SUBGRUPOS'!B$2:C$193,2,FALSE)</f>
        <v>100</v>
      </c>
      <c r="G292" s="6" t="s">
        <v>252</v>
      </c>
      <c r="H292" s="7" t="s">
        <v>15</v>
      </c>
      <c r="I292" s="5">
        <v>10</v>
      </c>
      <c r="M292" s="5" t="s">
        <v>500</v>
      </c>
    </row>
    <row r="293" spans="1:13" x14ac:dyDescent="0.25">
      <c r="A293" s="4">
        <v>422</v>
      </c>
      <c r="B293" s="5" t="s">
        <v>11</v>
      </c>
      <c r="C293" s="6" t="s">
        <v>238</v>
      </c>
      <c r="D293" s="5">
        <f>VLOOKUP(C293,'PESO GRUPO'!A$1:B$9,2,FALSE)</f>
        <v>30</v>
      </c>
      <c r="E293" s="6" t="s">
        <v>205</v>
      </c>
      <c r="F293" s="5">
        <f>VLOOKUP(E293,'PESOS SUBGRUPOS'!B$2:C$193,2,FALSE)</f>
        <v>100</v>
      </c>
      <c r="G293" s="6" t="s">
        <v>283</v>
      </c>
      <c r="H293" s="7" t="s">
        <v>15</v>
      </c>
      <c r="I293" s="5">
        <v>10</v>
      </c>
      <c r="M293" s="5" t="s">
        <v>500</v>
      </c>
    </row>
    <row r="294" spans="1:13" x14ac:dyDescent="0.25">
      <c r="A294" s="4">
        <v>423</v>
      </c>
      <c r="B294" s="5" t="s">
        <v>11</v>
      </c>
      <c r="C294" s="6" t="s">
        <v>238</v>
      </c>
      <c r="D294" s="5">
        <f>VLOOKUP(C294,'PESO GRUPO'!A$1:B$9,2,FALSE)</f>
        <v>30</v>
      </c>
      <c r="E294" s="6" t="s">
        <v>284</v>
      </c>
      <c r="F294" s="5">
        <f>VLOOKUP(E294,'PESOS SUBGRUPOS'!B$2:C$193,2,FALSE)</f>
        <v>40</v>
      </c>
      <c r="G294" s="6" t="s">
        <v>285</v>
      </c>
      <c r="H294" s="7" t="s">
        <v>15</v>
      </c>
      <c r="I294" s="5">
        <v>10</v>
      </c>
      <c r="M294" s="5" t="s">
        <v>500</v>
      </c>
    </row>
    <row r="295" spans="1:13" x14ac:dyDescent="0.25">
      <c r="A295" s="4">
        <v>424</v>
      </c>
      <c r="B295" s="5" t="s">
        <v>11</v>
      </c>
      <c r="C295" s="6" t="s">
        <v>238</v>
      </c>
      <c r="D295" s="5">
        <f>VLOOKUP(C295,'PESO GRUPO'!A$1:B$9,2,FALSE)</f>
        <v>30</v>
      </c>
      <c r="E295" s="6" t="s">
        <v>284</v>
      </c>
      <c r="F295" s="5">
        <f>VLOOKUP(E295,'PESOS SUBGRUPOS'!B$2:C$193,2,FALSE)</f>
        <v>40</v>
      </c>
      <c r="G295" s="6" t="s">
        <v>286</v>
      </c>
      <c r="H295" s="7" t="s">
        <v>15</v>
      </c>
      <c r="I295" s="5">
        <v>10</v>
      </c>
      <c r="M295" s="5" t="s">
        <v>500</v>
      </c>
    </row>
    <row r="296" spans="1:13" x14ac:dyDescent="0.25">
      <c r="A296" s="4">
        <v>425</v>
      </c>
      <c r="B296" s="5" t="s">
        <v>11</v>
      </c>
      <c r="C296" s="6" t="s">
        <v>238</v>
      </c>
      <c r="D296" s="5">
        <f>VLOOKUP(C296,'PESO GRUPO'!A$1:B$9,2,FALSE)</f>
        <v>30</v>
      </c>
      <c r="E296" s="6" t="s">
        <v>284</v>
      </c>
      <c r="F296" s="5">
        <f>VLOOKUP(E296,'PESOS SUBGRUPOS'!B$2:C$193,2,FALSE)</f>
        <v>40</v>
      </c>
      <c r="G296" s="6" t="s">
        <v>287</v>
      </c>
      <c r="H296" s="7" t="s">
        <v>15</v>
      </c>
      <c r="I296" s="5">
        <v>10</v>
      </c>
      <c r="M296" s="5" t="s">
        <v>500</v>
      </c>
    </row>
    <row r="297" spans="1:13" x14ac:dyDescent="0.25">
      <c r="A297" s="4">
        <v>426</v>
      </c>
      <c r="B297" s="5" t="s">
        <v>11</v>
      </c>
      <c r="C297" s="6" t="s">
        <v>238</v>
      </c>
      <c r="D297" s="5">
        <f>VLOOKUP(C297,'PESO GRUPO'!A$1:B$9,2,FALSE)</f>
        <v>30</v>
      </c>
      <c r="E297" s="6" t="s">
        <v>284</v>
      </c>
      <c r="F297" s="5">
        <f>VLOOKUP(E297,'PESOS SUBGRUPOS'!B$2:C$193,2,FALSE)</f>
        <v>40</v>
      </c>
      <c r="G297" s="6" t="s">
        <v>288</v>
      </c>
      <c r="H297" s="7" t="s">
        <v>15</v>
      </c>
      <c r="I297" s="5">
        <v>10</v>
      </c>
      <c r="M297" s="5" t="s">
        <v>500</v>
      </c>
    </row>
    <row r="298" spans="1:13" x14ac:dyDescent="0.25">
      <c r="A298" s="4">
        <v>427</v>
      </c>
      <c r="B298" s="5" t="s">
        <v>11</v>
      </c>
      <c r="C298" s="6" t="s">
        <v>238</v>
      </c>
      <c r="D298" s="5">
        <f>VLOOKUP(C298,'PESO GRUPO'!A$1:B$9,2,FALSE)</f>
        <v>30</v>
      </c>
      <c r="E298" s="6" t="s">
        <v>289</v>
      </c>
      <c r="F298" s="5">
        <f>VLOOKUP(E298,'PESOS SUBGRUPOS'!B$2:C$193,2,FALSE)</f>
        <v>40</v>
      </c>
      <c r="G298" s="6" t="s">
        <v>153</v>
      </c>
      <c r="H298" s="7" t="s">
        <v>15</v>
      </c>
      <c r="I298" s="5">
        <v>10</v>
      </c>
      <c r="M298" s="5" t="s">
        <v>500</v>
      </c>
    </row>
    <row r="299" spans="1:13" x14ac:dyDescent="0.25">
      <c r="A299" s="4">
        <v>428</v>
      </c>
      <c r="B299" s="5" t="s">
        <v>11</v>
      </c>
      <c r="C299" s="6" t="s">
        <v>238</v>
      </c>
      <c r="D299" s="5">
        <f>VLOOKUP(C299,'PESO GRUPO'!A$1:B$9,2,FALSE)</f>
        <v>30</v>
      </c>
      <c r="E299" s="6" t="s">
        <v>289</v>
      </c>
      <c r="F299" s="5">
        <f>VLOOKUP(E299,'PESOS SUBGRUPOS'!B$2:C$193,2,FALSE)</f>
        <v>40</v>
      </c>
      <c r="G299" s="6" t="s">
        <v>290</v>
      </c>
      <c r="H299" s="7" t="s">
        <v>15</v>
      </c>
      <c r="I299" s="5">
        <v>10</v>
      </c>
      <c r="M299" s="5" t="s">
        <v>500</v>
      </c>
    </row>
    <row r="300" spans="1:13" x14ac:dyDescent="0.25">
      <c r="A300" s="4">
        <v>429</v>
      </c>
      <c r="B300" s="5" t="s">
        <v>11</v>
      </c>
      <c r="C300" s="6" t="s">
        <v>238</v>
      </c>
      <c r="D300" s="5">
        <f>VLOOKUP(C300,'PESO GRUPO'!A$1:B$9,2,FALSE)</f>
        <v>30</v>
      </c>
      <c r="E300" s="6" t="s">
        <v>291</v>
      </c>
      <c r="F300" s="5">
        <f>VLOOKUP(E300,'PESOS SUBGRUPOS'!B$2:C$193,2,FALSE)</f>
        <v>80</v>
      </c>
      <c r="G300" s="6" t="s">
        <v>153</v>
      </c>
      <c r="H300" s="7" t="s">
        <v>15</v>
      </c>
      <c r="I300" s="5">
        <v>10</v>
      </c>
      <c r="M300" s="5" t="s">
        <v>500</v>
      </c>
    </row>
    <row r="301" spans="1:13" x14ac:dyDescent="0.25">
      <c r="A301" s="4">
        <v>430</v>
      </c>
      <c r="B301" s="5" t="s">
        <v>11</v>
      </c>
      <c r="C301" s="6" t="s">
        <v>238</v>
      </c>
      <c r="D301" s="5">
        <f>VLOOKUP(C301,'PESO GRUPO'!A$1:B$9,2,FALSE)</f>
        <v>30</v>
      </c>
      <c r="E301" s="6" t="s">
        <v>291</v>
      </c>
      <c r="F301" s="5">
        <f>VLOOKUP(E301,'PESOS SUBGRUPOS'!B$2:C$193,2,FALSE)</f>
        <v>80</v>
      </c>
      <c r="G301" s="6" t="s">
        <v>290</v>
      </c>
      <c r="H301" s="7" t="s">
        <v>15</v>
      </c>
      <c r="I301" s="5">
        <v>10</v>
      </c>
      <c r="M301" s="5" t="s">
        <v>500</v>
      </c>
    </row>
    <row r="302" spans="1:13" x14ac:dyDescent="0.25">
      <c r="A302" s="4">
        <v>431</v>
      </c>
      <c r="B302" s="5" t="s">
        <v>11</v>
      </c>
      <c r="C302" s="6" t="s">
        <v>238</v>
      </c>
      <c r="D302" s="5">
        <f>VLOOKUP(C302,'PESO GRUPO'!A$1:B$9,2,FALSE)</f>
        <v>30</v>
      </c>
      <c r="E302" s="6" t="s">
        <v>292</v>
      </c>
      <c r="F302" s="5">
        <f>VLOOKUP(E302,'PESOS SUBGRUPOS'!B$2:C$193,2,FALSE)</f>
        <v>100</v>
      </c>
      <c r="G302" s="6" t="s">
        <v>293</v>
      </c>
      <c r="H302" s="7" t="s">
        <v>15</v>
      </c>
      <c r="I302" s="5">
        <v>40</v>
      </c>
      <c r="M302" s="5" t="s">
        <v>500</v>
      </c>
    </row>
    <row r="303" spans="1:13" x14ac:dyDescent="0.25">
      <c r="A303" s="4">
        <v>432</v>
      </c>
      <c r="B303" s="5" t="s">
        <v>11</v>
      </c>
      <c r="C303" s="6" t="s">
        <v>238</v>
      </c>
      <c r="D303" s="5">
        <f>VLOOKUP(C303,'PESO GRUPO'!A$1:B$9,2,FALSE)</f>
        <v>30</v>
      </c>
      <c r="E303" s="6" t="s">
        <v>292</v>
      </c>
      <c r="F303" s="5">
        <f>VLOOKUP(E303,'PESOS SUBGRUPOS'!B$2:C$193,2,FALSE)</f>
        <v>100</v>
      </c>
      <c r="G303" s="6" t="s">
        <v>294</v>
      </c>
      <c r="H303" s="7" t="s">
        <v>15</v>
      </c>
      <c r="I303" s="5">
        <v>40</v>
      </c>
      <c r="M303" s="5" t="s">
        <v>500</v>
      </c>
    </row>
    <row r="304" spans="1:13" x14ac:dyDescent="0.25">
      <c r="A304" s="4">
        <v>433</v>
      </c>
      <c r="B304" s="5" t="s">
        <v>11</v>
      </c>
      <c r="C304" s="6" t="s">
        <v>238</v>
      </c>
      <c r="D304" s="5">
        <f>VLOOKUP(C304,'PESO GRUPO'!A$1:B$9,2,FALSE)</f>
        <v>30</v>
      </c>
      <c r="E304" s="6" t="s">
        <v>292</v>
      </c>
      <c r="F304" s="5">
        <f>VLOOKUP(E304,'PESOS SUBGRUPOS'!B$2:C$193,2,FALSE)</f>
        <v>100</v>
      </c>
      <c r="G304" s="6" t="s">
        <v>295</v>
      </c>
      <c r="H304" s="7" t="s">
        <v>15</v>
      </c>
      <c r="I304" s="5">
        <v>40</v>
      </c>
      <c r="M304" s="5" t="s">
        <v>500</v>
      </c>
    </row>
    <row r="305" spans="1:13" x14ac:dyDescent="0.25">
      <c r="A305" s="4">
        <v>434</v>
      </c>
      <c r="B305" s="5" t="s">
        <v>11</v>
      </c>
      <c r="C305" s="6" t="s">
        <v>238</v>
      </c>
      <c r="D305" s="5">
        <f>VLOOKUP(C305,'PESO GRUPO'!A$1:B$9,2,FALSE)</f>
        <v>30</v>
      </c>
      <c r="E305" s="6" t="s">
        <v>292</v>
      </c>
      <c r="F305" s="5">
        <f>VLOOKUP(E305,'PESOS SUBGRUPOS'!B$2:C$193,2,FALSE)</f>
        <v>100</v>
      </c>
      <c r="G305" s="6" t="s">
        <v>296</v>
      </c>
      <c r="H305" s="7" t="s">
        <v>15</v>
      </c>
      <c r="I305" s="5">
        <v>60</v>
      </c>
      <c r="M305" s="5" t="s">
        <v>500</v>
      </c>
    </row>
    <row r="306" spans="1:13" x14ac:dyDescent="0.25">
      <c r="A306" s="4">
        <v>435</v>
      </c>
      <c r="B306" s="5" t="s">
        <v>11</v>
      </c>
      <c r="C306" s="6" t="s">
        <v>238</v>
      </c>
      <c r="D306" s="5">
        <f>VLOOKUP(C306,'PESO GRUPO'!A$1:B$9,2,FALSE)</f>
        <v>30</v>
      </c>
      <c r="E306" s="6" t="s">
        <v>292</v>
      </c>
      <c r="F306" s="5">
        <f>VLOOKUP(E306,'PESOS SUBGRUPOS'!B$2:C$193,2,FALSE)</f>
        <v>100</v>
      </c>
      <c r="G306" s="6" t="s">
        <v>297</v>
      </c>
      <c r="H306" s="7" t="s">
        <v>15</v>
      </c>
      <c r="I306" s="5">
        <v>60</v>
      </c>
      <c r="M306" s="5" t="s">
        <v>500</v>
      </c>
    </row>
    <row r="307" spans="1:13" x14ac:dyDescent="0.25">
      <c r="A307" s="4">
        <v>436</v>
      </c>
      <c r="B307" s="5" t="s">
        <v>11</v>
      </c>
      <c r="C307" s="6" t="s">
        <v>238</v>
      </c>
      <c r="D307" s="5">
        <f>VLOOKUP(C307,'PESO GRUPO'!A$1:B$9,2,FALSE)</f>
        <v>30</v>
      </c>
      <c r="E307" s="6" t="s">
        <v>292</v>
      </c>
      <c r="F307" s="5">
        <f>VLOOKUP(E307,'PESOS SUBGRUPOS'!B$2:C$193,2,FALSE)</f>
        <v>100</v>
      </c>
      <c r="G307" s="6" t="s">
        <v>298</v>
      </c>
      <c r="H307" s="7" t="s">
        <v>15</v>
      </c>
      <c r="I307" s="5">
        <v>10</v>
      </c>
      <c r="M307" s="5" t="s">
        <v>500</v>
      </c>
    </row>
    <row r="308" spans="1:13" x14ac:dyDescent="0.25">
      <c r="A308" s="4">
        <v>437</v>
      </c>
      <c r="B308" s="5" t="s">
        <v>11</v>
      </c>
      <c r="C308" s="6" t="s">
        <v>238</v>
      </c>
      <c r="D308" s="5">
        <f>VLOOKUP(C308,'PESO GRUPO'!A$1:B$9,2,FALSE)</f>
        <v>30</v>
      </c>
      <c r="E308" s="6" t="s">
        <v>292</v>
      </c>
      <c r="F308" s="5">
        <f>VLOOKUP(E308,'PESOS SUBGRUPOS'!B$2:C$193,2,FALSE)</f>
        <v>100</v>
      </c>
      <c r="G308" s="6" t="s">
        <v>299</v>
      </c>
      <c r="H308" s="7" t="s">
        <v>15</v>
      </c>
      <c r="I308" s="5">
        <v>10</v>
      </c>
      <c r="M308" s="5" t="s">
        <v>500</v>
      </c>
    </row>
    <row r="309" spans="1:13" x14ac:dyDescent="0.25">
      <c r="A309" s="4">
        <v>438</v>
      </c>
      <c r="B309" s="5" t="s">
        <v>11</v>
      </c>
      <c r="C309" s="6" t="s">
        <v>238</v>
      </c>
      <c r="D309" s="5">
        <f>VLOOKUP(C309,'PESO GRUPO'!A$1:B$9,2,FALSE)</f>
        <v>30</v>
      </c>
      <c r="E309" s="6" t="s">
        <v>292</v>
      </c>
      <c r="F309" s="5">
        <f>VLOOKUP(E309,'PESOS SUBGRUPOS'!B$2:C$193,2,FALSE)</f>
        <v>100</v>
      </c>
      <c r="G309" s="6" t="s">
        <v>300</v>
      </c>
      <c r="H309" s="7" t="s">
        <v>15</v>
      </c>
      <c r="I309" s="5">
        <v>10</v>
      </c>
      <c r="M309" s="5" t="s">
        <v>500</v>
      </c>
    </row>
    <row r="310" spans="1:13" x14ac:dyDescent="0.25">
      <c r="A310" s="4">
        <v>439</v>
      </c>
      <c r="B310" s="5" t="s">
        <v>11</v>
      </c>
      <c r="C310" s="6" t="s">
        <v>238</v>
      </c>
      <c r="D310" s="5">
        <f>VLOOKUP(C310,'PESO GRUPO'!A$1:B$9,2,FALSE)</f>
        <v>30</v>
      </c>
      <c r="E310" s="6" t="s">
        <v>292</v>
      </c>
      <c r="F310" s="5">
        <f>VLOOKUP(E310,'PESOS SUBGRUPOS'!B$2:C$193,2,FALSE)</f>
        <v>100</v>
      </c>
      <c r="G310" s="6" t="s">
        <v>301</v>
      </c>
      <c r="H310" s="7" t="s">
        <v>15</v>
      </c>
      <c r="I310" s="5">
        <v>10</v>
      </c>
      <c r="M310" s="5" t="s">
        <v>500</v>
      </c>
    </row>
    <row r="311" spans="1:13" x14ac:dyDescent="0.25">
      <c r="A311" s="4">
        <v>440</v>
      </c>
      <c r="B311" s="5" t="s">
        <v>11</v>
      </c>
      <c r="C311" s="6" t="s">
        <v>238</v>
      </c>
      <c r="D311" s="5">
        <f>VLOOKUP(C311,'PESO GRUPO'!A$1:B$9,2,FALSE)</f>
        <v>30</v>
      </c>
      <c r="E311" s="6" t="s">
        <v>302</v>
      </c>
      <c r="F311" s="5">
        <f>VLOOKUP(E311,'PESOS SUBGRUPOS'!B$2:C$193,2,FALSE)</f>
        <v>80</v>
      </c>
      <c r="G311" s="6" t="s">
        <v>84</v>
      </c>
      <c r="H311" s="7" t="s">
        <v>15</v>
      </c>
      <c r="I311" s="5">
        <v>10</v>
      </c>
      <c r="M311" s="5" t="s">
        <v>500</v>
      </c>
    </row>
    <row r="312" spans="1:13" x14ac:dyDescent="0.25">
      <c r="A312" s="4">
        <v>441</v>
      </c>
      <c r="B312" s="5" t="s">
        <v>11</v>
      </c>
      <c r="C312" s="6" t="s">
        <v>238</v>
      </c>
      <c r="D312" s="5">
        <f>VLOOKUP(C312,'PESO GRUPO'!A$1:B$9,2,FALSE)</f>
        <v>30</v>
      </c>
      <c r="E312" s="6" t="s">
        <v>302</v>
      </c>
      <c r="F312" s="5">
        <f>VLOOKUP(E312,'PESOS SUBGRUPOS'!B$2:C$193,2,FALSE)</f>
        <v>80</v>
      </c>
      <c r="G312" s="6" t="s">
        <v>303</v>
      </c>
      <c r="H312" s="7" t="s">
        <v>15</v>
      </c>
      <c r="I312" s="5">
        <v>10</v>
      </c>
      <c r="M312" s="5" t="s">
        <v>500</v>
      </c>
    </row>
    <row r="313" spans="1:13" x14ac:dyDescent="0.25">
      <c r="A313" s="4">
        <v>442</v>
      </c>
      <c r="B313" s="5" t="s">
        <v>11</v>
      </c>
      <c r="C313" s="6" t="s">
        <v>238</v>
      </c>
      <c r="D313" s="5">
        <f>VLOOKUP(C313,'PESO GRUPO'!A$1:B$9,2,FALSE)</f>
        <v>30</v>
      </c>
      <c r="E313" s="6" t="s">
        <v>302</v>
      </c>
      <c r="F313" s="5">
        <f>VLOOKUP(E313,'PESOS SUBGRUPOS'!B$2:C$193,2,FALSE)</f>
        <v>80</v>
      </c>
      <c r="G313" s="6" t="s">
        <v>304</v>
      </c>
      <c r="H313" s="7" t="s">
        <v>15</v>
      </c>
      <c r="I313" s="5">
        <v>10</v>
      </c>
      <c r="M313" s="5" t="s">
        <v>500</v>
      </c>
    </row>
    <row r="314" spans="1:13" x14ac:dyDescent="0.25">
      <c r="A314" s="4">
        <v>443</v>
      </c>
      <c r="B314" s="5" t="s">
        <v>11</v>
      </c>
      <c r="C314" s="6" t="s">
        <v>238</v>
      </c>
      <c r="D314" s="5">
        <f>VLOOKUP(C314,'PESO GRUPO'!A$1:B$9,2,FALSE)</f>
        <v>30</v>
      </c>
      <c r="E314" s="6" t="s">
        <v>302</v>
      </c>
      <c r="F314" s="5">
        <f>VLOOKUP(E314,'PESOS SUBGRUPOS'!B$2:C$193,2,FALSE)</f>
        <v>80</v>
      </c>
      <c r="G314" s="6" t="s">
        <v>305</v>
      </c>
      <c r="H314" s="7" t="s">
        <v>15</v>
      </c>
      <c r="I314" s="5">
        <v>10</v>
      </c>
      <c r="M314" s="5" t="s">
        <v>500</v>
      </c>
    </row>
    <row r="315" spans="1:13" x14ac:dyDescent="0.25">
      <c r="A315" s="4">
        <v>444</v>
      </c>
      <c r="B315" s="5" t="s">
        <v>11</v>
      </c>
      <c r="C315" s="6" t="s">
        <v>238</v>
      </c>
      <c r="D315" s="5">
        <f>VLOOKUP(C315,'PESO GRUPO'!A$1:B$9,2,FALSE)</f>
        <v>30</v>
      </c>
      <c r="E315" s="6" t="s">
        <v>302</v>
      </c>
      <c r="F315" s="5">
        <f>VLOOKUP(E315,'PESOS SUBGRUPOS'!B$2:C$193,2,FALSE)</f>
        <v>80</v>
      </c>
      <c r="G315" s="6" t="s">
        <v>306</v>
      </c>
      <c r="H315" s="7" t="s">
        <v>15</v>
      </c>
      <c r="I315" s="5">
        <v>10</v>
      </c>
      <c r="M315" s="5" t="s">
        <v>500</v>
      </c>
    </row>
    <row r="316" spans="1:13" x14ac:dyDescent="0.25">
      <c r="A316" s="4">
        <v>445</v>
      </c>
      <c r="B316" s="5" t="s">
        <v>11</v>
      </c>
      <c r="C316" s="6" t="s">
        <v>238</v>
      </c>
      <c r="D316" s="5">
        <f>VLOOKUP(C316,'PESO GRUPO'!A$1:B$9,2,FALSE)</f>
        <v>30</v>
      </c>
      <c r="E316" s="6" t="s">
        <v>307</v>
      </c>
      <c r="F316" s="5">
        <f>VLOOKUP(E316,'PESOS SUBGRUPOS'!B$2:C$193,2,FALSE)</f>
        <v>20</v>
      </c>
      <c r="G316" s="6" t="s">
        <v>308</v>
      </c>
      <c r="H316" s="7" t="s">
        <v>15</v>
      </c>
      <c r="I316" s="5">
        <v>10</v>
      </c>
      <c r="M316" s="5" t="s">
        <v>500</v>
      </c>
    </row>
    <row r="317" spans="1:13" x14ac:dyDescent="0.25">
      <c r="A317" s="4">
        <v>446</v>
      </c>
      <c r="B317" s="5" t="s">
        <v>11</v>
      </c>
      <c r="C317" s="6" t="s">
        <v>238</v>
      </c>
      <c r="D317" s="5">
        <f>VLOOKUP(C317,'PESO GRUPO'!A$1:B$9,2,FALSE)</f>
        <v>30</v>
      </c>
      <c r="E317" s="6" t="s">
        <v>307</v>
      </c>
      <c r="F317" s="5">
        <f>VLOOKUP(E317,'PESOS SUBGRUPOS'!B$2:C$193,2,FALSE)</f>
        <v>20</v>
      </c>
      <c r="G317" s="6" t="s">
        <v>153</v>
      </c>
      <c r="H317" s="7" t="s">
        <v>15</v>
      </c>
      <c r="I317" s="5">
        <v>10</v>
      </c>
      <c r="M317" s="5" t="s">
        <v>500</v>
      </c>
    </row>
    <row r="318" spans="1:13" x14ac:dyDescent="0.25">
      <c r="A318" s="4">
        <v>447</v>
      </c>
      <c r="B318" s="5" t="s">
        <v>11</v>
      </c>
      <c r="C318" s="6" t="s">
        <v>238</v>
      </c>
      <c r="D318" s="5">
        <f>VLOOKUP(C318,'PESO GRUPO'!A$1:B$9,2,FALSE)</f>
        <v>30</v>
      </c>
      <c r="E318" s="6" t="s">
        <v>307</v>
      </c>
      <c r="F318" s="5">
        <f>VLOOKUP(E318,'PESOS SUBGRUPOS'!B$2:C$193,2,FALSE)</f>
        <v>20</v>
      </c>
      <c r="G318" s="6" t="s">
        <v>309</v>
      </c>
      <c r="H318" s="7" t="s">
        <v>15</v>
      </c>
      <c r="I318" s="5">
        <v>10</v>
      </c>
      <c r="M318" s="5" t="s">
        <v>500</v>
      </c>
    </row>
    <row r="319" spans="1:13" x14ac:dyDescent="0.25">
      <c r="A319" s="4">
        <v>448</v>
      </c>
      <c r="B319" s="5" t="s">
        <v>11</v>
      </c>
      <c r="C319" s="6" t="s">
        <v>238</v>
      </c>
      <c r="D319" s="5">
        <f>VLOOKUP(C319,'PESO GRUPO'!A$1:B$9,2,FALSE)</f>
        <v>30</v>
      </c>
      <c r="E319" s="6" t="s">
        <v>307</v>
      </c>
      <c r="F319" s="5">
        <f>VLOOKUP(E319,'PESOS SUBGRUPOS'!B$2:C$193,2,FALSE)</f>
        <v>20</v>
      </c>
      <c r="G319" s="6" t="s">
        <v>310</v>
      </c>
      <c r="H319" s="7" t="s">
        <v>15</v>
      </c>
      <c r="I319" s="5">
        <v>10</v>
      </c>
      <c r="M319" s="5" t="s">
        <v>500</v>
      </c>
    </row>
    <row r="320" spans="1:13" x14ac:dyDescent="0.25">
      <c r="A320" s="4">
        <v>449</v>
      </c>
      <c r="B320" s="5" t="s">
        <v>11</v>
      </c>
      <c r="C320" s="6" t="s">
        <v>238</v>
      </c>
      <c r="D320" s="5">
        <f>VLOOKUP(C320,'PESO GRUPO'!A$1:B$9,2,FALSE)</f>
        <v>30</v>
      </c>
      <c r="E320" s="6" t="s">
        <v>307</v>
      </c>
      <c r="F320" s="5">
        <f>VLOOKUP(E320,'PESOS SUBGRUPOS'!B$2:C$193,2,FALSE)</f>
        <v>20</v>
      </c>
      <c r="G320" s="6" t="s">
        <v>311</v>
      </c>
      <c r="H320" s="7" t="s">
        <v>15</v>
      </c>
      <c r="I320" s="5">
        <v>10</v>
      </c>
      <c r="M320" s="5" t="s">
        <v>500</v>
      </c>
    </row>
    <row r="321" spans="1:13" x14ac:dyDescent="0.25">
      <c r="A321" s="4">
        <v>452</v>
      </c>
      <c r="B321" s="5" t="s">
        <v>11</v>
      </c>
      <c r="C321" s="6" t="s">
        <v>238</v>
      </c>
      <c r="D321" s="5">
        <f>VLOOKUP(C321,'PESO GRUPO'!A$1:B$9,2,FALSE)</f>
        <v>30</v>
      </c>
      <c r="E321" s="6" t="s">
        <v>313</v>
      </c>
      <c r="F321" s="5">
        <f>VLOOKUP(E321,'PESOS SUBGRUPOS'!B$2:C$193,2,FALSE)</f>
        <v>80</v>
      </c>
      <c r="G321" s="6" t="s">
        <v>314</v>
      </c>
      <c r="H321" s="7" t="s">
        <v>15</v>
      </c>
      <c r="I321" s="5">
        <v>10</v>
      </c>
      <c r="M321" s="5" t="s">
        <v>500</v>
      </c>
    </row>
    <row r="322" spans="1:13" x14ac:dyDescent="0.25">
      <c r="A322" s="4">
        <v>453</v>
      </c>
      <c r="B322" s="5" t="s">
        <v>11</v>
      </c>
      <c r="C322" s="6" t="s">
        <v>238</v>
      </c>
      <c r="D322" s="5">
        <f>VLOOKUP(C322,'PESO GRUPO'!A$1:B$9,2,FALSE)</f>
        <v>30</v>
      </c>
      <c r="E322" s="6" t="s">
        <v>313</v>
      </c>
      <c r="F322" s="5">
        <f>VLOOKUP(E322,'PESOS SUBGRUPOS'!B$2:C$193,2,FALSE)</f>
        <v>80</v>
      </c>
      <c r="G322" s="6" t="s">
        <v>266</v>
      </c>
      <c r="H322" s="7" t="s">
        <v>15</v>
      </c>
      <c r="I322" s="5">
        <v>10</v>
      </c>
      <c r="M322" s="5" t="s">
        <v>500</v>
      </c>
    </row>
    <row r="323" spans="1:13" x14ac:dyDescent="0.25">
      <c r="A323" s="4">
        <v>454</v>
      </c>
      <c r="B323" s="5" t="s">
        <v>11</v>
      </c>
      <c r="C323" s="6" t="s">
        <v>238</v>
      </c>
      <c r="D323" s="5">
        <f>VLOOKUP(C323,'PESO GRUPO'!A$1:B$9,2,FALSE)</f>
        <v>30</v>
      </c>
      <c r="E323" s="6" t="s">
        <v>313</v>
      </c>
      <c r="F323" s="5">
        <f>VLOOKUP(E323,'PESOS SUBGRUPOS'!B$2:C$193,2,FALSE)</f>
        <v>80</v>
      </c>
      <c r="G323" s="6" t="s">
        <v>315</v>
      </c>
      <c r="H323" s="7" t="s">
        <v>15</v>
      </c>
      <c r="I323" s="5">
        <v>10</v>
      </c>
      <c r="M323" s="5" t="s">
        <v>500</v>
      </c>
    </row>
    <row r="324" spans="1:13" x14ac:dyDescent="0.25">
      <c r="A324" s="4">
        <v>455</v>
      </c>
      <c r="B324" s="5" t="s">
        <v>11</v>
      </c>
      <c r="C324" s="6" t="s">
        <v>238</v>
      </c>
      <c r="D324" s="5">
        <f>VLOOKUP(C324,'PESO GRUPO'!A$1:B$9,2,FALSE)</f>
        <v>30</v>
      </c>
      <c r="E324" s="6" t="s">
        <v>313</v>
      </c>
      <c r="F324" s="5">
        <f>VLOOKUP(E324,'PESOS SUBGRUPOS'!B$2:C$193,2,FALSE)</f>
        <v>80</v>
      </c>
      <c r="G324" s="6" t="s">
        <v>316</v>
      </c>
      <c r="H324" s="7" t="s">
        <v>15</v>
      </c>
      <c r="I324" s="5">
        <v>10</v>
      </c>
      <c r="M324" s="5" t="s">
        <v>500</v>
      </c>
    </row>
    <row r="325" spans="1:13" x14ac:dyDescent="0.25">
      <c r="A325" s="4">
        <v>456</v>
      </c>
      <c r="B325" s="5" t="s">
        <v>11</v>
      </c>
      <c r="C325" s="6" t="s">
        <v>238</v>
      </c>
      <c r="D325" s="5">
        <f>VLOOKUP(C325,'PESO GRUPO'!A$1:B$9,2,FALSE)</f>
        <v>30</v>
      </c>
      <c r="E325" s="6" t="s">
        <v>313</v>
      </c>
      <c r="F325" s="5">
        <f>VLOOKUP(E325,'PESOS SUBGRUPOS'!B$2:C$193,2,FALSE)</f>
        <v>80</v>
      </c>
      <c r="G325" s="6" t="s">
        <v>317</v>
      </c>
      <c r="H325" s="7" t="s">
        <v>15</v>
      </c>
      <c r="I325" s="5">
        <v>10</v>
      </c>
      <c r="M325" s="5" t="s">
        <v>500</v>
      </c>
    </row>
    <row r="326" spans="1:13" x14ac:dyDescent="0.25">
      <c r="A326" s="4">
        <v>457</v>
      </c>
      <c r="B326" s="5" t="s">
        <v>11</v>
      </c>
      <c r="C326" s="6" t="s">
        <v>238</v>
      </c>
      <c r="D326" s="5">
        <f>VLOOKUP(C326,'PESO GRUPO'!A$1:B$9,2,FALSE)</f>
        <v>30</v>
      </c>
      <c r="E326" s="6" t="s">
        <v>318</v>
      </c>
      <c r="F326" s="5">
        <f>VLOOKUP(E326,'PESOS SUBGRUPOS'!B$2:C$193,2,FALSE)</f>
        <v>100</v>
      </c>
      <c r="G326" s="6" t="s">
        <v>246</v>
      </c>
      <c r="H326" s="7" t="s">
        <v>15</v>
      </c>
      <c r="I326" s="5">
        <v>30</v>
      </c>
      <c r="M326" s="5" t="s">
        <v>500</v>
      </c>
    </row>
    <row r="327" spans="1:13" x14ac:dyDescent="0.25">
      <c r="A327" s="4">
        <v>458</v>
      </c>
      <c r="B327" s="5" t="s">
        <v>11</v>
      </c>
      <c r="C327" s="6" t="s">
        <v>238</v>
      </c>
      <c r="D327" s="5">
        <f>VLOOKUP(C327,'PESO GRUPO'!A$1:B$9,2,FALSE)</f>
        <v>30</v>
      </c>
      <c r="E327" s="6" t="s">
        <v>318</v>
      </c>
      <c r="F327" s="5">
        <f>VLOOKUP(E327,'PESOS SUBGRUPOS'!B$2:C$193,2,FALSE)</f>
        <v>100</v>
      </c>
      <c r="G327" s="6" t="s">
        <v>247</v>
      </c>
      <c r="H327" s="7" t="s">
        <v>15</v>
      </c>
      <c r="I327" s="5">
        <v>10</v>
      </c>
      <c r="M327" s="5" t="s">
        <v>500</v>
      </c>
    </row>
    <row r="328" spans="1:13" x14ac:dyDescent="0.25">
      <c r="A328" s="4">
        <v>459</v>
      </c>
      <c r="B328" s="5" t="s">
        <v>11</v>
      </c>
      <c r="C328" s="6" t="s">
        <v>238</v>
      </c>
      <c r="D328" s="5">
        <f>VLOOKUP(C328,'PESO GRUPO'!A$1:B$9,2,FALSE)</f>
        <v>30</v>
      </c>
      <c r="E328" s="6" t="s">
        <v>318</v>
      </c>
      <c r="F328" s="5">
        <f>VLOOKUP(E328,'PESOS SUBGRUPOS'!B$2:C$193,2,FALSE)</f>
        <v>100</v>
      </c>
      <c r="G328" s="6" t="s">
        <v>248</v>
      </c>
      <c r="H328" s="7" t="s">
        <v>15</v>
      </c>
      <c r="I328" s="5">
        <v>30</v>
      </c>
      <c r="M328" s="5" t="s">
        <v>500</v>
      </c>
    </row>
    <row r="329" spans="1:13" x14ac:dyDescent="0.25">
      <c r="A329" s="4">
        <v>460</v>
      </c>
      <c r="B329" s="5" t="s">
        <v>11</v>
      </c>
      <c r="C329" s="6" t="s">
        <v>238</v>
      </c>
      <c r="D329" s="5">
        <f>VLOOKUP(C329,'PESO GRUPO'!A$1:B$9,2,FALSE)</f>
        <v>30</v>
      </c>
      <c r="E329" s="6" t="s">
        <v>318</v>
      </c>
      <c r="F329" s="5">
        <f>VLOOKUP(E329,'PESOS SUBGRUPOS'!B$2:C$193,2,FALSE)</f>
        <v>100</v>
      </c>
      <c r="G329" s="6" t="s">
        <v>249</v>
      </c>
      <c r="H329" s="7" t="s">
        <v>15</v>
      </c>
      <c r="I329" s="5">
        <v>10</v>
      </c>
      <c r="M329" s="5" t="s">
        <v>500</v>
      </c>
    </row>
    <row r="330" spans="1:13" x14ac:dyDescent="0.25">
      <c r="A330" s="4">
        <v>461</v>
      </c>
      <c r="B330" s="5" t="s">
        <v>11</v>
      </c>
      <c r="C330" s="6" t="s">
        <v>238</v>
      </c>
      <c r="D330" s="5">
        <f>VLOOKUP(C330,'PESO GRUPO'!A$1:B$9,2,FALSE)</f>
        <v>30</v>
      </c>
      <c r="E330" s="6" t="s">
        <v>318</v>
      </c>
      <c r="F330" s="5">
        <f>VLOOKUP(E330,'PESOS SUBGRUPOS'!B$2:C$193,2,FALSE)</f>
        <v>100</v>
      </c>
      <c r="G330" s="6" t="s">
        <v>258</v>
      </c>
      <c r="H330" s="7" t="s">
        <v>15</v>
      </c>
      <c r="I330" s="5">
        <v>10</v>
      </c>
      <c r="M330" s="5" t="s">
        <v>500</v>
      </c>
    </row>
    <row r="331" spans="1:13" x14ac:dyDescent="0.25">
      <c r="A331" s="4">
        <v>462</v>
      </c>
      <c r="B331" s="5" t="s">
        <v>11</v>
      </c>
      <c r="C331" s="6" t="s">
        <v>238</v>
      </c>
      <c r="D331" s="5">
        <f>VLOOKUP(C331,'PESO GRUPO'!A$1:B$9,2,FALSE)</f>
        <v>30</v>
      </c>
      <c r="E331" s="6" t="s">
        <v>318</v>
      </c>
      <c r="F331" s="5">
        <f>VLOOKUP(E331,'PESOS SUBGRUPOS'!B$2:C$193,2,FALSE)</f>
        <v>100</v>
      </c>
      <c r="G331" s="6" t="s">
        <v>251</v>
      </c>
      <c r="H331" s="7" t="s">
        <v>15</v>
      </c>
      <c r="I331" s="5">
        <v>10</v>
      </c>
      <c r="M331" s="5" t="s">
        <v>500</v>
      </c>
    </row>
    <row r="332" spans="1:13" x14ac:dyDescent="0.25">
      <c r="A332" s="4">
        <v>463</v>
      </c>
      <c r="B332" s="5" t="s">
        <v>11</v>
      </c>
      <c r="C332" s="6" t="s">
        <v>238</v>
      </c>
      <c r="D332" s="5">
        <f>VLOOKUP(C332,'PESO GRUPO'!A$1:B$9,2,FALSE)</f>
        <v>30</v>
      </c>
      <c r="E332" s="6" t="s">
        <v>318</v>
      </c>
      <c r="F332" s="5">
        <f>VLOOKUP(E332,'PESOS SUBGRUPOS'!B$2:C$193,2,FALSE)</f>
        <v>100</v>
      </c>
      <c r="G332" s="6" t="s">
        <v>252</v>
      </c>
      <c r="H332" s="7" t="s">
        <v>15</v>
      </c>
      <c r="I332" s="5">
        <v>10</v>
      </c>
      <c r="M332" s="5" t="s">
        <v>500</v>
      </c>
    </row>
    <row r="333" spans="1:13" x14ac:dyDescent="0.25">
      <c r="A333" s="4">
        <v>464</v>
      </c>
      <c r="B333" s="5" t="s">
        <v>11</v>
      </c>
      <c r="C333" s="6" t="s">
        <v>238</v>
      </c>
      <c r="D333" s="5">
        <f>VLOOKUP(C333,'PESO GRUPO'!A$1:B$9,2,FALSE)</f>
        <v>30</v>
      </c>
      <c r="E333" s="6" t="s">
        <v>318</v>
      </c>
      <c r="F333" s="5">
        <f>VLOOKUP(E333,'PESOS SUBGRUPOS'!B$2:C$193,2,FALSE)</f>
        <v>100</v>
      </c>
      <c r="G333" s="6" t="s">
        <v>253</v>
      </c>
      <c r="H333" s="7" t="s">
        <v>15</v>
      </c>
      <c r="I333" s="5">
        <v>10</v>
      </c>
      <c r="M333" s="5" t="s">
        <v>500</v>
      </c>
    </row>
    <row r="334" spans="1:13" x14ac:dyDescent="0.25">
      <c r="A334" s="4">
        <v>465</v>
      </c>
      <c r="B334" s="5" t="s">
        <v>11</v>
      </c>
      <c r="C334" s="6" t="s">
        <v>238</v>
      </c>
      <c r="D334" s="5">
        <f>VLOOKUP(C334,'PESO GRUPO'!A$1:B$9,2,FALSE)</f>
        <v>30</v>
      </c>
      <c r="E334" s="6" t="s">
        <v>318</v>
      </c>
      <c r="F334" s="5">
        <f>VLOOKUP(E334,'PESOS SUBGRUPOS'!B$2:C$193,2,FALSE)</f>
        <v>100</v>
      </c>
      <c r="G334" s="6" t="s">
        <v>266</v>
      </c>
      <c r="H334" s="7" t="s">
        <v>15</v>
      </c>
      <c r="I334" s="5">
        <v>10</v>
      </c>
      <c r="M334" s="5" t="s">
        <v>500</v>
      </c>
    </row>
    <row r="335" spans="1:13" x14ac:dyDescent="0.25">
      <c r="A335" s="4">
        <v>466</v>
      </c>
      <c r="B335" s="5" t="s">
        <v>11</v>
      </c>
      <c r="C335" s="6" t="s">
        <v>238</v>
      </c>
      <c r="D335" s="5">
        <f>VLOOKUP(C335,'PESO GRUPO'!A$1:B$9,2,FALSE)</f>
        <v>30</v>
      </c>
      <c r="E335" s="6" t="s">
        <v>318</v>
      </c>
      <c r="F335" s="5">
        <f>VLOOKUP(E335,'PESOS SUBGRUPOS'!B$2:C$193,2,FALSE)</f>
        <v>100</v>
      </c>
      <c r="G335" s="6" t="s">
        <v>255</v>
      </c>
      <c r="H335" s="7" t="s">
        <v>15</v>
      </c>
      <c r="I335" s="5">
        <v>10</v>
      </c>
      <c r="M335" s="5" t="s">
        <v>500</v>
      </c>
    </row>
    <row r="336" spans="1:13" x14ac:dyDescent="0.25">
      <c r="A336" s="4">
        <v>467</v>
      </c>
      <c r="B336" s="5" t="s">
        <v>11</v>
      </c>
      <c r="C336" s="6" t="s">
        <v>238</v>
      </c>
      <c r="D336" s="5">
        <f>VLOOKUP(C336,'PESO GRUPO'!A$1:B$9,2,FALSE)</f>
        <v>30</v>
      </c>
      <c r="E336" s="6" t="s">
        <v>235</v>
      </c>
      <c r="F336" s="5">
        <f>VLOOKUP(E336,'PESOS SUBGRUPOS'!B$2:C$193,2,FALSE)</f>
        <v>60</v>
      </c>
      <c r="G336" s="6" t="s">
        <v>153</v>
      </c>
      <c r="H336" s="7" t="s">
        <v>15</v>
      </c>
      <c r="I336" s="5">
        <v>10</v>
      </c>
      <c r="M336" s="5" t="s">
        <v>500</v>
      </c>
    </row>
    <row r="337" spans="1:13" x14ac:dyDescent="0.25">
      <c r="A337" s="4">
        <v>468</v>
      </c>
      <c r="B337" s="5" t="s">
        <v>11</v>
      </c>
      <c r="C337" s="6" t="s">
        <v>238</v>
      </c>
      <c r="D337" s="5">
        <f>VLOOKUP(C337,'PESO GRUPO'!A$1:B$9,2,FALSE)</f>
        <v>30</v>
      </c>
      <c r="E337" s="6" t="s">
        <v>235</v>
      </c>
      <c r="F337" s="5">
        <f>VLOOKUP(E337,'PESOS SUBGRUPOS'!B$2:C$193,2,FALSE)</f>
        <v>60</v>
      </c>
      <c r="G337" s="6" t="s">
        <v>290</v>
      </c>
      <c r="H337" s="7" t="s">
        <v>15</v>
      </c>
      <c r="I337" s="5">
        <v>10</v>
      </c>
      <c r="M337" s="5" t="s">
        <v>500</v>
      </c>
    </row>
    <row r="338" spans="1:13" x14ac:dyDescent="0.25">
      <c r="A338" s="4">
        <v>469</v>
      </c>
      <c r="B338" s="5" t="s">
        <v>11</v>
      </c>
      <c r="C338" s="6" t="s">
        <v>238</v>
      </c>
      <c r="D338" s="5">
        <f>VLOOKUP(C338,'PESO GRUPO'!A$1:B$9,2,FALSE)</f>
        <v>30</v>
      </c>
      <c r="E338" s="6" t="s">
        <v>319</v>
      </c>
      <c r="F338" s="5">
        <f>VLOOKUP(E338,'PESOS SUBGRUPOS'!B$2:C$193,2,FALSE)</f>
        <v>100</v>
      </c>
      <c r="G338" s="6" t="s">
        <v>246</v>
      </c>
      <c r="H338" s="7" t="s">
        <v>15</v>
      </c>
      <c r="I338" s="5">
        <v>30</v>
      </c>
      <c r="M338" s="5" t="s">
        <v>500</v>
      </c>
    </row>
    <row r="339" spans="1:13" x14ac:dyDescent="0.25">
      <c r="A339" s="4">
        <v>470</v>
      </c>
      <c r="B339" s="5" t="s">
        <v>11</v>
      </c>
      <c r="C339" s="6" t="s">
        <v>238</v>
      </c>
      <c r="D339" s="5">
        <f>VLOOKUP(C339,'PESO GRUPO'!A$1:B$9,2,FALSE)</f>
        <v>30</v>
      </c>
      <c r="E339" s="6" t="s">
        <v>319</v>
      </c>
      <c r="F339" s="5">
        <f>VLOOKUP(E339,'PESOS SUBGRUPOS'!B$2:C$193,2,FALSE)</f>
        <v>100</v>
      </c>
      <c r="G339" s="6" t="s">
        <v>247</v>
      </c>
      <c r="H339" s="7" t="s">
        <v>15</v>
      </c>
      <c r="I339" s="5">
        <v>10</v>
      </c>
      <c r="M339" s="5" t="s">
        <v>500</v>
      </c>
    </row>
    <row r="340" spans="1:13" x14ac:dyDescent="0.25">
      <c r="A340" s="4">
        <v>471</v>
      </c>
      <c r="B340" s="5" t="s">
        <v>11</v>
      </c>
      <c r="C340" s="6" t="s">
        <v>238</v>
      </c>
      <c r="D340" s="5">
        <f>VLOOKUP(C340,'PESO GRUPO'!A$1:B$9,2,FALSE)</f>
        <v>30</v>
      </c>
      <c r="E340" s="6" t="s">
        <v>319</v>
      </c>
      <c r="F340" s="5">
        <f>VLOOKUP(E340,'PESOS SUBGRUPOS'!B$2:C$193,2,FALSE)</f>
        <v>100</v>
      </c>
      <c r="G340" s="6" t="s">
        <v>248</v>
      </c>
      <c r="H340" s="7" t="s">
        <v>15</v>
      </c>
      <c r="I340" s="5">
        <v>30</v>
      </c>
      <c r="M340" s="5" t="s">
        <v>500</v>
      </c>
    </row>
    <row r="341" spans="1:13" x14ac:dyDescent="0.25">
      <c r="A341" s="4">
        <v>472</v>
      </c>
      <c r="B341" s="5" t="s">
        <v>11</v>
      </c>
      <c r="C341" s="6" t="s">
        <v>238</v>
      </c>
      <c r="D341" s="5">
        <f>VLOOKUP(C341,'PESO GRUPO'!A$1:B$9,2,FALSE)</f>
        <v>30</v>
      </c>
      <c r="E341" s="6" t="s">
        <v>319</v>
      </c>
      <c r="F341" s="5">
        <f>VLOOKUP(E341,'PESOS SUBGRUPOS'!B$2:C$193,2,FALSE)</f>
        <v>100</v>
      </c>
      <c r="G341" s="6" t="s">
        <v>249</v>
      </c>
      <c r="H341" s="7" t="s">
        <v>15</v>
      </c>
      <c r="I341" s="5">
        <v>10</v>
      </c>
      <c r="M341" s="5" t="s">
        <v>500</v>
      </c>
    </row>
    <row r="342" spans="1:13" x14ac:dyDescent="0.25">
      <c r="A342" s="4">
        <v>473</v>
      </c>
      <c r="B342" s="5" t="s">
        <v>11</v>
      </c>
      <c r="C342" s="6" t="s">
        <v>238</v>
      </c>
      <c r="D342" s="5">
        <f>VLOOKUP(C342,'PESO GRUPO'!A$1:B$9,2,FALSE)</f>
        <v>30</v>
      </c>
      <c r="E342" s="6" t="s">
        <v>319</v>
      </c>
      <c r="F342" s="5">
        <f>VLOOKUP(E342,'PESOS SUBGRUPOS'!B$2:C$193,2,FALSE)</f>
        <v>100</v>
      </c>
      <c r="G342" s="6" t="s">
        <v>258</v>
      </c>
      <c r="H342" s="7" t="s">
        <v>15</v>
      </c>
      <c r="I342" s="5">
        <v>10</v>
      </c>
      <c r="M342" s="5" t="s">
        <v>500</v>
      </c>
    </row>
    <row r="343" spans="1:13" x14ac:dyDescent="0.25">
      <c r="A343" s="4">
        <v>474</v>
      </c>
      <c r="B343" s="5" t="s">
        <v>11</v>
      </c>
      <c r="C343" s="6" t="s">
        <v>238</v>
      </c>
      <c r="D343" s="5">
        <f>VLOOKUP(C343,'PESO GRUPO'!A$1:B$9,2,FALSE)</f>
        <v>30</v>
      </c>
      <c r="E343" s="6" t="s">
        <v>319</v>
      </c>
      <c r="F343" s="5">
        <f>VLOOKUP(E343,'PESOS SUBGRUPOS'!B$2:C$193,2,FALSE)</f>
        <v>100</v>
      </c>
      <c r="G343" s="6" t="s">
        <v>253</v>
      </c>
      <c r="H343" s="7" t="s">
        <v>15</v>
      </c>
      <c r="I343" s="5">
        <v>10</v>
      </c>
      <c r="M343" s="5" t="s">
        <v>500</v>
      </c>
    </row>
    <row r="344" spans="1:13" x14ac:dyDescent="0.25">
      <c r="A344" s="4">
        <v>475</v>
      </c>
      <c r="B344" s="5" t="s">
        <v>11</v>
      </c>
      <c r="C344" s="6" t="s">
        <v>238</v>
      </c>
      <c r="D344" s="5">
        <f>VLOOKUP(C344,'PESO GRUPO'!A$1:B$9,2,FALSE)</f>
        <v>30</v>
      </c>
      <c r="E344" s="6" t="s">
        <v>319</v>
      </c>
      <c r="F344" s="5">
        <f>VLOOKUP(E344,'PESOS SUBGRUPOS'!B$2:C$193,2,FALSE)</f>
        <v>100</v>
      </c>
      <c r="G344" s="6" t="s">
        <v>266</v>
      </c>
      <c r="H344" s="7" t="s">
        <v>15</v>
      </c>
      <c r="I344" s="5">
        <v>10</v>
      </c>
      <c r="M344" s="5" t="s">
        <v>500</v>
      </c>
    </row>
    <row r="345" spans="1:13" x14ac:dyDescent="0.25">
      <c r="A345" s="4">
        <v>476</v>
      </c>
      <c r="B345" s="5" t="s">
        <v>11</v>
      </c>
      <c r="C345" s="6" t="s">
        <v>238</v>
      </c>
      <c r="D345" s="5">
        <f>VLOOKUP(C345,'PESO GRUPO'!A$1:B$9,2,FALSE)</f>
        <v>30</v>
      </c>
      <c r="E345" s="6" t="s">
        <v>319</v>
      </c>
      <c r="F345" s="5">
        <f>VLOOKUP(E345,'PESOS SUBGRUPOS'!B$2:C$193,2,FALSE)</f>
        <v>100</v>
      </c>
      <c r="G345" s="6" t="s">
        <v>320</v>
      </c>
      <c r="H345" s="7" t="s">
        <v>15</v>
      </c>
      <c r="I345" s="5">
        <v>10</v>
      </c>
      <c r="M345" s="5" t="s">
        <v>500</v>
      </c>
    </row>
    <row r="346" spans="1:13" x14ac:dyDescent="0.25">
      <c r="A346" s="4">
        <v>477</v>
      </c>
      <c r="B346" s="5" t="s">
        <v>11</v>
      </c>
      <c r="C346" s="6" t="s">
        <v>238</v>
      </c>
      <c r="D346" s="5">
        <f>VLOOKUP(C346,'PESO GRUPO'!A$1:B$9,2,FALSE)</f>
        <v>30</v>
      </c>
      <c r="E346" s="6" t="s">
        <v>321</v>
      </c>
      <c r="F346" s="5">
        <f>VLOOKUP(E346,'PESOS SUBGRUPOS'!B$2:C$193,2,FALSE)</f>
        <v>80</v>
      </c>
      <c r="G346" s="6" t="s">
        <v>246</v>
      </c>
      <c r="H346" s="7" t="s">
        <v>15</v>
      </c>
      <c r="I346" s="5">
        <v>30</v>
      </c>
      <c r="M346" s="5" t="s">
        <v>500</v>
      </c>
    </row>
    <row r="347" spans="1:13" x14ac:dyDescent="0.25">
      <c r="A347" s="4">
        <v>478</v>
      </c>
      <c r="B347" s="5" t="s">
        <v>11</v>
      </c>
      <c r="C347" s="6" t="s">
        <v>238</v>
      </c>
      <c r="D347" s="5">
        <f>VLOOKUP(C347,'PESO GRUPO'!A$1:B$9,2,FALSE)</f>
        <v>30</v>
      </c>
      <c r="E347" s="6" t="s">
        <v>321</v>
      </c>
      <c r="F347" s="5">
        <f>VLOOKUP(E347,'PESOS SUBGRUPOS'!B$2:C$193,2,FALSE)</f>
        <v>80</v>
      </c>
      <c r="G347" s="6" t="s">
        <v>247</v>
      </c>
      <c r="H347" s="7" t="s">
        <v>15</v>
      </c>
      <c r="I347" s="5">
        <v>10</v>
      </c>
      <c r="M347" s="5" t="s">
        <v>500</v>
      </c>
    </row>
    <row r="348" spans="1:13" x14ac:dyDescent="0.25">
      <c r="A348" s="4">
        <v>479</v>
      </c>
      <c r="B348" s="5" t="s">
        <v>11</v>
      </c>
      <c r="C348" s="6" t="s">
        <v>238</v>
      </c>
      <c r="D348" s="5">
        <f>VLOOKUP(C348,'PESO GRUPO'!A$1:B$9,2,FALSE)</f>
        <v>30</v>
      </c>
      <c r="E348" s="6" t="s">
        <v>321</v>
      </c>
      <c r="F348" s="5">
        <f>VLOOKUP(E348,'PESOS SUBGRUPOS'!B$2:C$193,2,FALSE)</f>
        <v>80</v>
      </c>
      <c r="G348" s="6" t="s">
        <v>248</v>
      </c>
      <c r="H348" s="7" t="s">
        <v>15</v>
      </c>
      <c r="I348" s="5">
        <v>30</v>
      </c>
      <c r="M348" s="5" t="s">
        <v>500</v>
      </c>
    </row>
    <row r="349" spans="1:13" x14ac:dyDescent="0.25">
      <c r="A349" s="4">
        <v>480</v>
      </c>
      <c r="B349" s="5" t="s">
        <v>11</v>
      </c>
      <c r="C349" s="6" t="s">
        <v>238</v>
      </c>
      <c r="D349" s="5">
        <f>VLOOKUP(C349,'PESO GRUPO'!A$1:B$9,2,FALSE)</f>
        <v>30</v>
      </c>
      <c r="E349" s="6" t="s">
        <v>321</v>
      </c>
      <c r="F349" s="5">
        <f>VLOOKUP(E349,'PESOS SUBGRUPOS'!B$2:C$193,2,FALSE)</f>
        <v>80</v>
      </c>
      <c r="G349" s="6" t="s">
        <v>249</v>
      </c>
      <c r="H349" s="7" t="s">
        <v>15</v>
      </c>
      <c r="I349" s="5">
        <v>10</v>
      </c>
      <c r="M349" s="5" t="s">
        <v>500</v>
      </c>
    </row>
    <row r="350" spans="1:13" x14ac:dyDescent="0.25">
      <c r="A350" s="4">
        <v>481</v>
      </c>
      <c r="B350" s="5" t="s">
        <v>11</v>
      </c>
      <c r="C350" s="6" t="s">
        <v>238</v>
      </c>
      <c r="D350" s="5">
        <f>VLOOKUP(C350,'PESO GRUPO'!A$1:B$9,2,FALSE)</f>
        <v>30</v>
      </c>
      <c r="E350" s="6" t="s">
        <v>321</v>
      </c>
      <c r="F350" s="5">
        <f>VLOOKUP(E350,'PESOS SUBGRUPOS'!B$2:C$193,2,FALSE)</f>
        <v>80</v>
      </c>
      <c r="G350" s="6" t="s">
        <v>258</v>
      </c>
      <c r="H350" s="7" t="s">
        <v>15</v>
      </c>
      <c r="I350" s="5">
        <v>10</v>
      </c>
      <c r="M350" s="5" t="s">
        <v>500</v>
      </c>
    </row>
    <row r="351" spans="1:13" x14ac:dyDescent="0.25">
      <c r="A351" s="4">
        <v>482</v>
      </c>
      <c r="B351" s="5" t="s">
        <v>11</v>
      </c>
      <c r="C351" s="6" t="s">
        <v>238</v>
      </c>
      <c r="D351" s="5">
        <f>VLOOKUP(C351,'PESO GRUPO'!A$1:B$9,2,FALSE)</f>
        <v>30</v>
      </c>
      <c r="E351" s="6" t="s">
        <v>321</v>
      </c>
      <c r="F351" s="5">
        <f>VLOOKUP(E351,'PESOS SUBGRUPOS'!B$2:C$193,2,FALSE)</f>
        <v>80</v>
      </c>
      <c r="G351" s="6" t="s">
        <v>251</v>
      </c>
      <c r="H351" s="7" t="s">
        <v>15</v>
      </c>
      <c r="I351" s="5">
        <v>10</v>
      </c>
      <c r="M351" s="5" t="s">
        <v>500</v>
      </c>
    </row>
    <row r="352" spans="1:13" x14ac:dyDescent="0.25">
      <c r="A352" s="4">
        <v>483</v>
      </c>
      <c r="B352" s="5" t="s">
        <v>11</v>
      </c>
      <c r="C352" s="6" t="s">
        <v>238</v>
      </c>
      <c r="D352" s="5">
        <f>VLOOKUP(C352,'PESO GRUPO'!A$1:B$9,2,FALSE)</f>
        <v>30</v>
      </c>
      <c r="E352" s="6" t="s">
        <v>321</v>
      </c>
      <c r="F352" s="5">
        <f>VLOOKUP(E352,'PESOS SUBGRUPOS'!B$2:C$193,2,FALSE)</f>
        <v>80</v>
      </c>
      <c r="G352" s="6" t="s">
        <v>252</v>
      </c>
      <c r="H352" s="7" t="s">
        <v>15</v>
      </c>
      <c r="I352" s="5">
        <v>10</v>
      </c>
      <c r="M352" s="5" t="s">
        <v>500</v>
      </c>
    </row>
    <row r="353" spans="1:13" x14ac:dyDescent="0.25">
      <c r="A353" s="4">
        <v>484</v>
      </c>
      <c r="B353" s="5" t="s">
        <v>11</v>
      </c>
      <c r="C353" s="6" t="s">
        <v>238</v>
      </c>
      <c r="D353" s="5">
        <f>VLOOKUP(C353,'PESO GRUPO'!A$1:B$9,2,FALSE)</f>
        <v>30</v>
      </c>
      <c r="E353" s="6" t="s">
        <v>321</v>
      </c>
      <c r="F353" s="5">
        <f>VLOOKUP(E353,'PESOS SUBGRUPOS'!B$2:C$193,2,FALSE)</f>
        <v>80</v>
      </c>
      <c r="G353" s="6" t="s">
        <v>253</v>
      </c>
      <c r="H353" s="7" t="s">
        <v>15</v>
      </c>
      <c r="I353" s="5">
        <v>10</v>
      </c>
      <c r="M353" s="5" t="s">
        <v>500</v>
      </c>
    </row>
    <row r="354" spans="1:13" x14ac:dyDescent="0.25">
      <c r="A354" s="4">
        <v>485</v>
      </c>
      <c r="B354" s="5" t="s">
        <v>11</v>
      </c>
      <c r="C354" s="6" t="s">
        <v>238</v>
      </c>
      <c r="D354" s="5">
        <f>VLOOKUP(C354,'PESO GRUPO'!A$1:B$9,2,FALSE)</f>
        <v>30</v>
      </c>
      <c r="E354" s="6" t="s">
        <v>321</v>
      </c>
      <c r="F354" s="5">
        <f>VLOOKUP(E354,'PESOS SUBGRUPOS'!B$2:C$193,2,FALSE)</f>
        <v>80</v>
      </c>
      <c r="G354" s="6" t="s">
        <v>266</v>
      </c>
      <c r="H354" s="7" t="s">
        <v>15</v>
      </c>
      <c r="I354" s="5">
        <v>10</v>
      </c>
      <c r="M354" s="5" t="s">
        <v>500</v>
      </c>
    </row>
    <row r="355" spans="1:13" x14ac:dyDescent="0.25">
      <c r="A355" s="4">
        <v>486</v>
      </c>
      <c r="B355" s="5" t="s">
        <v>11</v>
      </c>
      <c r="C355" s="6" t="s">
        <v>238</v>
      </c>
      <c r="D355" s="5">
        <f>VLOOKUP(C355,'PESO GRUPO'!A$1:B$9,2,FALSE)</f>
        <v>30</v>
      </c>
      <c r="E355" s="6" t="s">
        <v>322</v>
      </c>
      <c r="F355" s="5">
        <f>VLOOKUP(E355,'PESOS SUBGRUPOS'!B$2:C$193,2,FALSE)</f>
        <v>20</v>
      </c>
      <c r="G355" s="6" t="s">
        <v>153</v>
      </c>
      <c r="H355" s="7" t="s">
        <v>15</v>
      </c>
      <c r="I355" s="5">
        <v>10</v>
      </c>
      <c r="M355" s="5" t="s">
        <v>500</v>
      </c>
    </row>
    <row r="356" spans="1:13" x14ac:dyDescent="0.25">
      <c r="A356" s="4">
        <v>487</v>
      </c>
      <c r="B356" s="5" t="s">
        <v>11</v>
      </c>
      <c r="C356" s="6" t="s">
        <v>238</v>
      </c>
      <c r="D356" s="5">
        <f>VLOOKUP(C356,'PESO GRUPO'!A$1:B$9,2,FALSE)</f>
        <v>30</v>
      </c>
      <c r="E356" s="6" t="s">
        <v>322</v>
      </c>
      <c r="F356" s="5">
        <f>VLOOKUP(E356,'PESOS SUBGRUPOS'!B$2:C$193,2,FALSE)</f>
        <v>20</v>
      </c>
      <c r="G356" s="6" t="s">
        <v>290</v>
      </c>
      <c r="H356" s="7" t="s">
        <v>15</v>
      </c>
      <c r="I356" s="5">
        <v>10</v>
      </c>
      <c r="M356" s="5" t="s">
        <v>500</v>
      </c>
    </row>
    <row r="357" spans="1:13" x14ac:dyDescent="0.25">
      <c r="A357" s="4">
        <v>488</v>
      </c>
      <c r="B357" s="5" t="s">
        <v>11</v>
      </c>
      <c r="C357" s="6" t="s">
        <v>238</v>
      </c>
      <c r="D357" s="5">
        <f>VLOOKUP(C357,'PESO GRUPO'!A$1:B$9,2,FALSE)</f>
        <v>30</v>
      </c>
      <c r="E357" s="6" t="s">
        <v>322</v>
      </c>
      <c r="F357" s="5">
        <f>VLOOKUP(E357,'PESOS SUBGRUPOS'!B$2:C$193,2,FALSE)</f>
        <v>20</v>
      </c>
      <c r="G357" s="6" t="s">
        <v>323</v>
      </c>
      <c r="H357" s="7" t="s">
        <v>15</v>
      </c>
      <c r="I357" s="5">
        <v>10</v>
      </c>
      <c r="M357" s="5" t="s">
        <v>500</v>
      </c>
    </row>
    <row r="358" spans="1:13" x14ac:dyDescent="0.25">
      <c r="A358" s="4">
        <v>489</v>
      </c>
      <c r="B358" s="5" t="s">
        <v>11</v>
      </c>
      <c r="C358" s="6" t="s">
        <v>238</v>
      </c>
      <c r="D358" s="5">
        <f>VLOOKUP(C358,'PESO GRUPO'!A$1:B$9,2,FALSE)</f>
        <v>30</v>
      </c>
      <c r="E358" s="6" t="s">
        <v>324</v>
      </c>
      <c r="F358" s="5">
        <f>VLOOKUP(E358,'PESOS SUBGRUPOS'!B$2:C$193,2,FALSE)</f>
        <v>100</v>
      </c>
      <c r="G358" s="6" t="s">
        <v>325</v>
      </c>
      <c r="H358" s="7" t="s">
        <v>15</v>
      </c>
      <c r="I358" s="5">
        <v>10</v>
      </c>
      <c r="M358" s="5" t="s">
        <v>500</v>
      </c>
    </row>
    <row r="359" spans="1:13" x14ac:dyDescent="0.25">
      <c r="A359" s="4">
        <v>490</v>
      </c>
      <c r="B359" s="5" t="s">
        <v>11</v>
      </c>
      <c r="C359" s="6" t="s">
        <v>238</v>
      </c>
      <c r="D359" s="5">
        <f>VLOOKUP(C359,'PESO GRUPO'!A$1:B$9,2,FALSE)</f>
        <v>30</v>
      </c>
      <c r="E359" s="6" t="s">
        <v>324</v>
      </c>
      <c r="F359" s="5">
        <f>VLOOKUP(E359,'PESOS SUBGRUPOS'!B$2:C$193,2,FALSE)</f>
        <v>100</v>
      </c>
      <c r="G359" s="6" t="s">
        <v>326</v>
      </c>
      <c r="H359" s="7" t="s">
        <v>15</v>
      </c>
      <c r="I359" s="5">
        <v>30</v>
      </c>
      <c r="M359" s="5" t="s">
        <v>500</v>
      </c>
    </row>
    <row r="360" spans="1:13" x14ac:dyDescent="0.25">
      <c r="A360" s="4">
        <v>491</v>
      </c>
      <c r="B360" s="5" t="s">
        <v>11</v>
      </c>
      <c r="C360" s="6" t="s">
        <v>238</v>
      </c>
      <c r="D360" s="5">
        <f>VLOOKUP(C360,'PESO GRUPO'!A$1:B$9,2,FALSE)</f>
        <v>30</v>
      </c>
      <c r="E360" s="6" t="s">
        <v>324</v>
      </c>
      <c r="F360" s="5">
        <f>VLOOKUP(E360,'PESOS SUBGRUPOS'!B$2:C$193,2,FALSE)</f>
        <v>100</v>
      </c>
      <c r="G360" s="6" t="s">
        <v>327</v>
      </c>
      <c r="H360" s="7" t="s">
        <v>15</v>
      </c>
      <c r="I360" s="5">
        <v>10</v>
      </c>
      <c r="M360" s="5" t="s">
        <v>500</v>
      </c>
    </row>
    <row r="361" spans="1:13" x14ac:dyDescent="0.25">
      <c r="A361" s="4">
        <v>492</v>
      </c>
      <c r="B361" s="5" t="s">
        <v>11</v>
      </c>
      <c r="C361" s="6" t="s">
        <v>238</v>
      </c>
      <c r="D361" s="5">
        <f>VLOOKUP(C361,'PESO GRUPO'!A$1:B$9,2,FALSE)</f>
        <v>30</v>
      </c>
      <c r="E361" s="6" t="s">
        <v>324</v>
      </c>
      <c r="F361" s="5">
        <f>VLOOKUP(E361,'PESOS SUBGRUPOS'!B$2:C$193,2,FALSE)</f>
        <v>100</v>
      </c>
      <c r="G361" s="6" t="s">
        <v>328</v>
      </c>
      <c r="H361" s="7" t="s">
        <v>15</v>
      </c>
      <c r="I361" s="5">
        <v>10</v>
      </c>
      <c r="M361" s="5" t="s">
        <v>500</v>
      </c>
    </row>
    <row r="362" spans="1:13" x14ac:dyDescent="0.25">
      <c r="A362" s="4">
        <v>493</v>
      </c>
      <c r="B362" s="5" t="s">
        <v>11</v>
      </c>
      <c r="C362" s="6" t="s">
        <v>238</v>
      </c>
      <c r="D362" s="5">
        <f>VLOOKUP(C362,'PESO GRUPO'!A$1:B$9,2,FALSE)</f>
        <v>30</v>
      </c>
      <c r="E362" s="6" t="s">
        <v>324</v>
      </c>
      <c r="F362" s="5">
        <f>VLOOKUP(E362,'PESOS SUBGRUPOS'!B$2:C$193,2,FALSE)</f>
        <v>100</v>
      </c>
      <c r="G362" s="6" t="s">
        <v>457</v>
      </c>
      <c r="H362" s="7" t="s">
        <v>15</v>
      </c>
      <c r="I362" s="5">
        <v>10</v>
      </c>
      <c r="M362" s="5" t="s">
        <v>500</v>
      </c>
    </row>
    <row r="363" spans="1:13" x14ac:dyDescent="0.25">
      <c r="A363" s="4">
        <v>494</v>
      </c>
      <c r="B363" s="5" t="s">
        <v>11</v>
      </c>
      <c r="C363" s="6" t="s">
        <v>238</v>
      </c>
      <c r="D363" s="5">
        <f>VLOOKUP(C363,'PESO GRUPO'!A$1:B$9,2,FALSE)</f>
        <v>30</v>
      </c>
      <c r="E363" s="6" t="s">
        <v>324</v>
      </c>
      <c r="F363" s="5">
        <f>VLOOKUP(E363,'PESOS SUBGRUPOS'!B$2:C$193,2,FALSE)</f>
        <v>100</v>
      </c>
      <c r="G363" s="6" t="s">
        <v>329</v>
      </c>
      <c r="H363" s="7" t="s">
        <v>15</v>
      </c>
      <c r="I363" s="5">
        <v>10</v>
      </c>
      <c r="M363" s="5" t="s">
        <v>500</v>
      </c>
    </row>
    <row r="364" spans="1:13" x14ac:dyDescent="0.25">
      <c r="A364" s="4">
        <v>495</v>
      </c>
      <c r="B364" s="5" t="s">
        <v>11</v>
      </c>
      <c r="C364" s="6" t="s">
        <v>238</v>
      </c>
      <c r="D364" s="5">
        <f>VLOOKUP(C364,'PESO GRUPO'!A$1:B$9,2,FALSE)</f>
        <v>30</v>
      </c>
      <c r="E364" s="6" t="s">
        <v>324</v>
      </c>
      <c r="F364" s="5">
        <f>VLOOKUP(E364,'PESOS SUBGRUPOS'!B$2:C$193,2,FALSE)</f>
        <v>100</v>
      </c>
      <c r="G364" s="6" t="s">
        <v>330</v>
      </c>
      <c r="H364" s="7" t="s">
        <v>15</v>
      </c>
      <c r="I364" s="5">
        <v>10</v>
      </c>
      <c r="M364" s="5" t="s">
        <v>500</v>
      </c>
    </row>
    <row r="365" spans="1:13" x14ac:dyDescent="0.25">
      <c r="A365" s="4">
        <v>496</v>
      </c>
      <c r="B365" s="5" t="s">
        <v>11</v>
      </c>
      <c r="C365" s="6" t="s">
        <v>238</v>
      </c>
      <c r="D365" s="5">
        <f>VLOOKUP(C365,'PESO GRUPO'!A$1:B$9,2,FALSE)</f>
        <v>30</v>
      </c>
      <c r="E365" s="6" t="s">
        <v>324</v>
      </c>
      <c r="F365" s="5">
        <f>VLOOKUP(E365,'PESOS SUBGRUPOS'!B$2:C$193,2,FALSE)</f>
        <v>100</v>
      </c>
      <c r="G365" s="6" t="s">
        <v>331</v>
      </c>
      <c r="H365" s="7" t="s">
        <v>15</v>
      </c>
      <c r="I365" s="5">
        <v>10</v>
      </c>
      <c r="M365" s="5" t="s">
        <v>500</v>
      </c>
    </row>
    <row r="366" spans="1:13" x14ac:dyDescent="0.25">
      <c r="A366" s="4">
        <v>497</v>
      </c>
      <c r="B366" s="5" t="s">
        <v>11</v>
      </c>
      <c r="C366" s="6" t="s">
        <v>238</v>
      </c>
      <c r="D366" s="5">
        <f>VLOOKUP(C366,'PESO GRUPO'!A$1:B$9,2,FALSE)</f>
        <v>30</v>
      </c>
      <c r="E366" s="6" t="s">
        <v>324</v>
      </c>
      <c r="F366" s="5">
        <f>VLOOKUP(E366,'PESOS SUBGRUPOS'!B$2:C$193,2,FALSE)</f>
        <v>100</v>
      </c>
      <c r="G366" s="6" t="s">
        <v>332</v>
      </c>
      <c r="H366" s="7" t="s">
        <v>15</v>
      </c>
      <c r="I366" s="5">
        <v>10</v>
      </c>
      <c r="M366" s="5" t="s">
        <v>500</v>
      </c>
    </row>
    <row r="367" spans="1:13" x14ac:dyDescent="0.25">
      <c r="A367" s="4">
        <v>498</v>
      </c>
      <c r="B367" s="5" t="s">
        <v>11</v>
      </c>
      <c r="C367" s="6" t="s">
        <v>238</v>
      </c>
      <c r="D367" s="5">
        <f>VLOOKUP(C367,'PESO GRUPO'!A$1:B$9,2,FALSE)</f>
        <v>30</v>
      </c>
      <c r="E367" s="6" t="s">
        <v>324</v>
      </c>
      <c r="F367" s="5">
        <f>VLOOKUP(E367,'PESOS SUBGRUPOS'!B$2:C$193,2,FALSE)</f>
        <v>100</v>
      </c>
      <c r="G367" s="6" t="s">
        <v>333</v>
      </c>
      <c r="H367" s="7" t="s">
        <v>15</v>
      </c>
      <c r="I367" s="5">
        <v>10</v>
      </c>
      <c r="M367" s="5" t="s">
        <v>500</v>
      </c>
    </row>
    <row r="368" spans="1:13" x14ac:dyDescent="0.25">
      <c r="A368" s="4">
        <v>499</v>
      </c>
      <c r="B368" s="5" t="s">
        <v>11</v>
      </c>
      <c r="C368" s="6" t="s">
        <v>238</v>
      </c>
      <c r="D368" s="5">
        <f>VLOOKUP(C368,'PESO GRUPO'!A$1:B$9,2,FALSE)</f>
        <v>30</v>
      </c>
      <c r="E368" s="6" t="s">
        <v>324</v>
      </c>
      <c r="F368" s="5">
        <f>VLOOKUP(E368,'PESOS SUBGRUPOS'!B$2:C$193,2,FALSE)</f>
        <v>100</v>
      </c>
      <c r="G368" s="6" t="s">
        <v>334</v>
      </c>
      <c r="H368" s="7" t="s">
        <v>15</v>
      </c>
      <c r="I368" s="5">
        <v>10</v>
      </c>
      <c r="M368" s="5" t="s">
        <v>500</v>
      </c>
    </row>
    <row r="369" spans="1:13" x14ac:dyDescent="0.25">
      <c r="A369" s="4">
        <v>500</v>
      </c>
      <c r="B369" s="5" t="s">
        <v>11</v>
      </c>
      <c r="C369" s="6" t="s">
        <v>238</v>
      </c>
      <c r="D369" s="5">
        <f>VLOOKUP(C369,'PESO GRUPO'!A$1:B$9,2,FALSE)</f>
        <v>30</v>
      </c>
      <c r="E369" s="6" t="s">
        <v>324</v>
      </c>
      <c r="F369" s="5">
        <f>VLOOKUP(E369,'PESOS SUBGRUPOS'!B$2:C$193,2,FALSE)</f>
        <v>100</v>
      </c>
      <c r="G369" s="6" t="s">
        <v>335</v>
      </c>
      <c r="H369" s="7" t="s">
        <v>15</v>
      </c>
      <c r="I369" s="5">
        <v>10</v>
      </c>
      <c r="M369" s="5" t="s">
        <v>500</v>
      </c>
    </row>
    <row r="370" spans="1:13" x14ac:dyDescent="0.25">
      <c r="A370" s="4">
        <v>501</v>
      </c>
      <c r="B370" s="5" t="s">
        <v>11</v>
      </c>
      <c r="C370" s="6" t="s">
        <v>238</v>
      </c>
      <c r="D370" s="5">
        <f>VLOOKUP(C370,'PESO GRUPO'!A$1:B$9,2,FALSE)</f>
        <v>30</v>
      </c>
      <c r="E370" s="6" t="s">
        <v>324</v>
      </c>
      <c r="F370" s="5">
        <f>VLOOKUP(E370,'PESOS SUBGRUPOS'!B$2:C$193,2,FALSE)</f>
        <v>100</v>
      </c>
      <c r="G370" s="6" t="s">
        <v>336</v>
      </c>
      <c r="H370" s="7" t="s">
        <v>15</v>
      </c>
      <c r="I370" s="5">
        <v>10</v>
      </c>
      <c r="M370" s="5" t="s">
        <v>500</v>
      </c>
    </row>
    <row r="371" spans="1:13" x14ac:dyDescent="0.25">
      <c r="A371" s="4">
        <v>502</v>
      </c>
      <c r="B371" s="5" t="s">
        <v>11</v>
      </c>
      <c r="C371" s="6" t="s">
        <v>238</v>
      </c>
      <c r="D371" s="5">
        <f>VLOOKUP(C371,'PESO GRUPO'!A$1:B$9,2,FALSE)</f>
        <v>30</v>
      </c>
      <c r="E371" s="6" t="s">
        <v>324</v>
      </c>
      <c r="F371" s="5">
        <f>VLOOKUP(E371,'PESOS SUBGRUPOS'!B$2:C$193,2,FALSE)</f>
        <v>100</v>
      </c>
      <c r="G371" s="6" t="s">
        <v>337</v>
      </c>
      <c r="H371" s="7" t="s">
        <v>15</v>
      </c>
      <c r="I371" s="5">
        <v>10</v>
      </c>
      <c r="M371" s="5" t="s">
        <v>500</v>
      </c>
    </row>
    <row r="372" spans="1:13" x14ac:dyDescent="0.25">
      <c r="A372" s="4">
        <v>503</v>
      </c>
      <c r="B372" s="5" t="s">
        <v>11</v>
      </c>
      <c r="C372" s="6" t="s">
        <v>238</v>
      </c>
      <c r="D372" s="5">
        <f>VLOOKUP(C372,'PESO GRUPO'!A$1:B$9,2,FALSE)</f>
        <v>30</v>
      </c>
      <c r="E372" s="6" t="s">
        <v>324</v>
      </c>
      <c r="F372" s="5">
        <f>VLOOKUP(E372,'PESOS SUBGRUPOS'!B$2:C$193,2,FALSE)</f>
        <v>100</v>
      </c>
      <c r="G372" s="6" t="s">
        <v>338</v>
      </c>
      <c r="H372" s="7" t="s">
        <v>15</v>
      </c>
      <c r="I372" s="5">
        <v>10</v>
      </c>
      <c r="M372" s="5" t="s">
        <v>500</v>
      </c>
    </row>
    <row r="373" spans="1:13" x14ac:dyDescent="0.25">
      <c r="A373" s="4">
        <v>504</v>
      </c>
      <c r="B373" s="5" t="s">
        <v>11</v>
      </c>
      <c r="C373" s="6" t="s">
        <v>238</v>
      </c>
      <c r="D373" s="5">
        <f>VLOOKUP(C373,'PESO GRUPO'!A$1:B$9,2,FALSE)</f>
        <v>30</v>
      </c>
      <c r="E373" s="6" t="s">
        <v>324</v>
      </c>
      <c r="F373" s="5">
        <f>VLOOKUP(E373,'PESOS SUBGRUPOS'!B$2:C$193,2,FALSE)</f>
        <v>100</v>
      </c>
      <c r="G373" s="6" t="s">
        <v>339</v>
      </c>
      <c r="H373" s="7" t="s">
        <v>15</v>
      </c>
      <c r="I373" s="5">
        <v>10</v>
      </c>
      <c r="M373" s="5" t="s">
        <v>500</v>
      </c>
    </row>
    <row r="374" spans="1:13" x14ac:dyDescent="0.25">
      <c r="A374" s="4">
        <v>505</v>
      </c>
      <c r="B374" s="5" t="s">
        <v>11</v>
      </c>
      <c r="C374" s="6" t="s">
        <v>238</v>
      </c>
      <c r="D374" s="5">
        <f>VLOOKUP(C374,'PESO GRUPO'!A$1:B$9,2,FALSE)</f>
        <v>30</v>
      </c>
      <c r="E374" s="6" t="s">
        <v>340</v>
      </c>
      <c r="F374" s="5">
        <f>VLOOKUP(E374,'PESOS SUBGRUPOS'!B$2:C$193,2,FALSE)</f>
        <v>100</v>
      </c>
      <c r="G374" s="6" t="s">
        <v>458</v>
      </c>
      <c r="H374" s="7" t="s">
        <v>15</v>
      </c>
      <c r="I374" s="5">
        <v>10</v>
      </c>
      <c r="M374" s="5" t="s">
        <v>500</v>
      </c>
    </row>
    <row r="375" spans="1:13" x14ac:dyDescent="0.25">
      <c r="A375" s="4">
        <v>506</v>
      </c>
      <c r="B375" s="5" t="s">
        <v>11</v>
      </c>
      <c r="C375" s="6" t="s">
        <v>238</v>
      </c>
      <c r="D375" s="5">
        <f>VLOOKUP(C375,'PESO GRUPO'!A$1:B$9,2,FALSE)</f>
        <v>30</v>
      </c>
      <c r="E375" s="6" t="s">
        <v>340</v>
      </c>
      <c r="F375" s="5">
        <f>VLOOKUP(E375,'PESOS SUBGRUPOS'!B$2:C$193,2,FALSE)</f>
        <v>100</v>
      </c>
      <c r="G375" s="6" t="s">
        <v>341</v>
      </c>
      <c r="H375" s="7" t="s">
        <v>15</v>
      </c>
      <c r="I375" s="5">
        <v>10</v>
      </c>
      <c r="M375" s="5" t="s">
        <v>500</v>
      </c>
    </row>
    <row r="376" spans="1:13" x14ac:dyDescent="0.25">
      <c r="A376" s="4">
        <v>507</v>
      </c>
      <c r="B376" s="5" t="s">
        <v>11</v>
      </c>
      <c r="C376" s="6" t="s">
        <v>238</v>
      </c>
      <c r="D376" s="5">
        <f>VLOOKUP(C376,'PESO GRUPO'!A$1:B$9,2,FALSE)</f>
        <v>30</v>
      </c>
      <c r="E376" s="6" t="s">
        <v>340</v>
      </c>
      <c r="F376" s="5">
        <f>VLOOKUP(E376,'PESOS SUBGRUPOS'!B$2:C$193,2,FALSE)</f>
        <v>100</v>
      </c>
      <c r="G376" s="6" t="s">
        <v>459</v>
      </c>
      <c r="H376" s="7" t="s">
        <v>15</v>
      </c>
      <c r="I376" s="5">
        <v>10</v>
      </c>
      <c r="M376" s="5" t="s">
        <v>500</v>
      </c>
    </row>
    <row r="377" spans="1:13" x14ac:dyDescent="0.25">
      <c r="A377" s="4">
        <v>508</v>
      </c>
      <c r="B377" s="5" t="s">
        <v>11</v>
      </c>
      <c r="C377" s="6" t="s">
        <v>238</v>
      </c>
      <c r="D377" s="5">
        <f>VLOOKUP(C377,'PESO GRUPO'!A$1:B$9,2,FALSE)</f>
        <v>30</v>
      </c>
      <c r="E377" s="6" t="s">
        <v>340</v>
      </c>
      <c r="F377" s="5">
        <f>VLOOKUP(E377,'PESOS SUBGRUPOS'!B$2:C$193,2,FALSE)</f>
        <v>100</v>
      </c>
      <c r="G377" s="6" t="s">
        <v>460</v>
      </c>
      <c r="H377" s="7" t="s">
        <v>15</v>
      </c>
      <c r="I377" s="5">
        <v>10</v>
      </c>
      <c r="M377" s="5" t="s">
        <v>500</v>
      </c>
    </row>
    <row r="378" spans="1:13" x14ac:dyDescent="0.25">
      <c r="A378" s="4">
        <v>509</v>
      </c>
      <c r="B378" s="12" t="s">
        <v>11</v>
      </c>
      <c r="C378" s="10" t="s">
        <v>238</v>
      </c>
      <c r="D378" s="5">
        <f>VLOOKUP(C378,'PESO GRUPO'!A$1:B$9,2,FALSE)</f>
        <v>30</v>
      </c>
      <c r="E378" s="10" t="s">
        <v>340</v>
      </c>
      <c r="F378" s="5">
        <f>VLOOKUP(E378,'PESOS SUBGRUPOS'!B$2:C$193,2,FALSE)</f>
        <v>100</v>
      </c>
      <c r="G378" s="10" t="s">
        <v>461</v>
      </c>
      <c r="H378" s="7" t="s">
        <v>15</v>
      </c>
      <c r="I378" s="5">
        <v>10</v>
      </c>
      <c r="M378" s="5" t="s">
        <v>500</v>
      </c>
    </row>
    <row r="379" spans="1:13" x14ac:dyDescent="0.25">
      <c r="A379" s="4">
        <v>510</v>
      </c>
      <c r="B379" s="12" t="s">
        <v>11</v>
      </c>
      <c r="C379" s="10" t="s">
        <v>238</v>
      </c>
      <c r="D379" s="5">
        <f>VLOOKUP(C379,'PESO GRUPO'!A$1:B$9,2,FALSE)</f>
        <v>30</v>
      </c>
      <c r="E379" s="10" t="s">
        <v>340</v>
      </c>
      <c r="F379" s="5">
        <f>VLOOKUP(E379,'PESOS SUBGRUPOS'!B$2:C$193,2,FALSE)</f>
        <v>100</v>
      </c>
      <c r="G379" s="10" t="s">
        <v>462</v>
      </c>
      <c r="H379" s="7" t="s">
        <v>15</v>
      </c>
      <c r="I379" s="5">
        <v>10</v>
      </c>
      <c r="M379" s="5" t="s">
        <v>500</v>
      </c>
    </row>
    <row r="380" spans="1:13" x14ac:dyDescent="0.25">
      <c r="A380" s="4">
        <v>511</v>
      </c>
      <c r="B380" s="12" t="s">
        <v>11</v>
      </c>
      <c r="C380" s="10" t="s">
        <v>238</v>
      </c>
      <c r="D380" s="5">
        <f>VLOOKUP(C380,'PESO GRUPO'!A$1:B$9,2,FALSE)</f>
        <v>30</v>
      </c>
      <c r="E380" s="10" t="s">
        <v>343</v>
      </c>
      <c r="F380" s="5">
        <f>VLOOKUP(E380,'PESOS SUBGRUPOS'!B$2:C$193,2,FALSE)</f>
        <v>100</v>
      </c>
      <c r="G380" s="10" t="s">
        <v>246</v>
      </c>
      <c r="H380" s="7" t="s">
        <v>15</v>
      </c>
      <c r="I380" s="5">
        <v>30</v>
      </c>
      <c r="M380" s="5" t="s">
        <v>500</v>
      </c>
    </row>
    <row r="381" spans="1:13" x14ac:dyDescent="0.25">
      <c r="A381" s="4">
        <v>512</v>
      </c>
      <c r="B381" s="5" t="s">
        <v>11</v>
      </c>
      <c r="C381" s="6" t="s">
        <v>238</v>
      </c>
      <c r="D381" s="5">
        <f>VLOOKUP(C381,'PESO GRUPO'!A$1:B$9,2,FALSE)</f>
        <v>30</v>
      </c>
      <c r="E381" s="6" t="s">
        <v>343</v>
      </c>
      <c r="F381" s="5">
        <f>VLOOKUP(E381,'PESOS SUBGRUPOS'!B$2:C$193,2,FALSE)</f>
        <v>100</v>
      </c>
      <c r="G381" s="6" t="s">
        <v>247</v>
      </c>
      <c r="H381" s="7" t="s">
        <v>15</v>
      </c>
      <c r="I381" s="5">
        <v>10</v>
      </c>
      <c r="M381" s="5" t="s">
        <v>500</v>
      </c>
    </row>
    <row r="382" spans="1:13" x14ac:dyDescent="0.25">
      <c r="A382" s="4">
        <v>513</v>
      </c>
      <c r="B382" s="5" t="s">
        <v>11</v>
      </c>
      <c r="C382" s="6" t="s">
        <v>238</v>
      </c>
      <c r="D382" s="5">
        <f>VLOOKUP(C382,'PESO GRUPO'!A$1:B$9,2,FALSE)</f>
        <v>30</v>
      </c>
      <c r="E382" s="6" t="s">
        <v>343</v>
      </c>
      <c r="F382" s="5">
        <f>VLOOKUP(E382,'PESOS SUBGRUPOS'!B$2:C$193,2,FALSE)</f>
        <v>100</v>
      </c>
      <c r="G382" s="6" t="s">
        <v>248</v>
      </c>
      <c r="H382" s="7" t="s">
        <v>15</v>
      </c>
      <c r="I382" s="5">
        <v>30</v>
      </c>
      <c r="M382" s="5" t="s">
        <v>500</v>
      </c>
    </row>
    <row r="383" spans="1:13" x14ac:dyDescent="0.25">
      <c r="A383" s="4">
        <v>514</v>
      </c>
      <c r="B383" s="5" t="s">
        <v>11</v>
      </c>
      <c r="C383" s="6" t="s">
        <v>238</v>
      </c>
      <c r="D383" s="5">
        <f>VLOOKUP(C383,'PESO GRUPO'!A$1:B$9,2,FALSE)</f>
        <v>30</v>
      </c>
      <c r="E383" s="6" t="s">
        <v>343</v>
      </c>
      <c r="F383" s="5">
        <f>VLOOKUP(E383,'PESOS SUBGRUPOS'!B$2:C$193,2,FALSE)</f>
        <v>100</v>
      </c>
      <c r="G383" s="6" t="s">
        <v>249</v>
      </c>
      <c r="H383" s="7" t="s">
        <v>15</v>
      </c>
      <c r="I383" s="5">
        <v>10</v>
      </c>
      <c r="M383" s="5" t="s">
        <v>500</v>
      </c>
    </row>
    <row r="384" spans="1:13" x14ac:dyDescent="0.25">
      <c r="A384" s="4">
        <v>515</v>
      </c>
      <c r="B384" s="5" t="s">
        <v>11</v>
      </c>
      <c r="C384" s="6" t="s">
        <v>238</v>
      </c>
      <c r="D384" s="5">
        <f>VLOOKUP(C384,'PESO GRUPO'!A$1:B$9,2,FALSE)</f>
        <v>30</v>
      </c>
      <c r="E384" s="6" t="s">
        <v>343</v>
      </c>
      <c r="F384" s="5">
        <f>VLOOKUP(E384,'PESOS SUBGRUPOS'!B$2:C$193,2,FALSE)</f>
        <v>100</v>
      </c>
      <c r="G384" s="6" t="s">
        <v>258</v>
      </c>
      <c r="H384" s="7" t="s">
        <v>15</v>
      </c>
      <c r="I384" s="5">
        <v>10</v>
      </c>
      <c r="M384" s="5" t="s">
        <v>500</v>
      </c>
    </row>
    <row r="385" spans="1:13" x14ac:dyDescent="0.25">
      <c r="A385" s="4">
        <v>516</v>
      </c>
      <c r="B385" s="5" t="s">
        <v>11</v>
      </c>
      <c r="C385" s="6" t="s">
        <v>238</v>
      </c>
      <c r="D385" s="5">
        <f>VLOOKUP(C385,'PESO GRUPO'!A$1:B$9,2,FALSE)</f>
        <v>30</v>
      </c>
      <c r="E385" s="6" t="s">
        <v>343</v>
      </c>
      <c r="F385" s="5">
        <f>VLOOKUP(E385,'PESOS SUBGRUPOS'!B$2:C$193,2,FALSE)</f>
        <v>100</v>
      </c>
      <c r="G385" s="6" t="s">
        <v>251</v>
      </c>
      <c r="H385" s="7" t="s">
        <v>15</v>
      </c>
      <c r="I385" s="5">
        <v>10</v>
      </c>
      <c r="M385" s="5" t="s">
        <v>500</v>
      </c>
    </row>
    <row r="386" spans="1:13" x14ac:dyDescent="0.25">
      <c r="A386" s="4">
        <v>517</v>
      </c>
      <c r="B386" s="5" t="s">
        <v>11</v>
      </c>
      <c r="C386" s="6" t="s">
        <v>238</v>
      </c>
      <c r="D386" s="5">
        <f>VLOOKUP(C386,'PESO GRUPO'!A$1:B$9,2,FALSE)</f>
        <v>30</v>
      </c>
      <c r="E386" s="6" t="s">
        <v>343</v>
      </c>
      <c r="F386" s="5">
        <f>VLOOKUP(E386,'PESOS SUBGRUPOS'!B$2:C$193,2,FALSE)</f>
        <v>100</v>
      </c>
      <c r="G386" s="6" t="s">
        <v>252</v>
      </c>
      <c r="H386" s="7" t="s">
        <v>15</v>
      </c>
      <c r="I386" s="5">
        <v>10</v>
      </c>
      <c r="M386" s="5" t="s">
        <v>500</v>
      </c>
    </row>
    <row r="387" spans="1:13" x14ac:dyDescent="0.25">
      <c r="A387" s="4">
        <v>518</v>
      </c>
      <c r="B387" s="5" t="s">
        <v>11</v>
      </c>
      <c r="C387" s="6" t="s">
        <v>238</v>
      </c>
      <c r="D387" s="5">
        <f>VLOOKUP(C387,'PESO GRUPO'!A$1:B$9,2,FALSE)</f>
        <v>30</v>
      </c>
      <c r="E387" s="6" t="s">
        <v>343</v>
      </c>
      <c r="F387" s="5">
        <f>VLOOKUP(E387,'PESOS SUBGRUPOS'!B$2:C$193,2,FALSE)</f>
        <v>100</v>
      </c>
      <c r="G387" s="6" t="s">
        <v>253</v>
      </c>
      <c r="H387" s="7" t="s">
        <v>15</v>
      </c>
      <c r="I387" s="5">
        <v>10</v>
      </c>
      <c r="M387" s="5" t="s">
        <v>500</v>
      </c>
    </row>
    <row r="388" spans="1:13" x14ac:dyDescent="0.25">
      <c r="A388" s="4">
        <v>519</v>
      </c>
      <c r="B388" s="5" t="s">
        <v>11</v>
      </c>
      <c r="C388" s="6" t="s">
        <v>238</v>
      </c>
      <c r="D388" s="5">
        <f>VLOOKUP(C388,'PESO GRUPO'!A$1:B$9,2,FALSE)</f>
        <v>30</v>
      </c>
      <c r="E388" s="6" t="s">
        <v>343</v>
      </c>
      <c r="F388" s="5">
        <f>VLOOKUP(E388,'PESOS SUBGRUPOS'!B$2:C$193,2,FALSE)</f>
        <v>100</v>
      </c>
      <c r="G388" s="6" t="s">
        <v>266</v>
      </c>
      <c r="H388" s="7" t="s">
        <v>15</v>
      </c>
      <c r="I388" s="5">
        <v>10</v>
      </c>
      <c r="M388" s="5" t="s">
        <v>500</v>
      </c>
    </row>
    <row r="389" spans="1:13" x14ac:dyDescent="0.25">
      <c r="A389" s="4">
        <v>520</v>
      </c>
      <c r="B389" s="5" t="s">
        <v>11</v>
      </c>
      <c r="C389" s="6" t="s">
        <v>238</v>
      </c>
      <c r="D389" s="5">
        <f>VLOOKUP(C389,'PESO GRUPO'!A$1:B$9,2,FALSE)</f>
        <v>30</v>
      </c>
      <c r="E389" s="6" t="s">
        <v>344</v>
      </c>
      <c r="F389" s="5">
        <f>VLOOKUP(E389,'PESOS SUBGRUPOS'!B$2:C$193,2,FALSE)</f>
        <v>20</v>
      </c>
      <c r="G389" s="6" t="s">
        <v>153</v>
      </c>
      <c r="H389" s="7" t="s">
        <v>15</v>
      </c>
      <c r="I389" s="5">
        <v>10</v>
      </c>
      <c r="M389" s="5" t="s">
        <v>500</v>
      </c>
    </row>
    <row r="390" spans="1:13" x14ac:dyDescent="0.25">
      <c r="A390" s="4">
        <v>521</v>
      </c>
      <c r="B390" s="5" t="s">
        <v>11</v>
      </c>
      <c r="C390" s="6" t="s">
        <v>238</v>
      </c>
      <c r="D390" s="5">
        <f>VLOOKUP(C390,'PESO GRUPO'!A$1:B$9,2,FALSE)</f>
        <v>30</v>
      </c>
      <c r="E390" s="6" t="s">
        <v>344</v>
      </c>
      <c r="F390" s="5">
        <f>VLOOKUP(E390,'PESOS SUBGRUPOS'!B$2:C$193,2,FALSE)</f>
        <v>20</v>
      </c>
      <c r="G390" s="6" t="s">
        <v>290</v>
      </c>
      <c r="H390" s="7" t="s">
        <v>15</v>
      </c>
      <c r="I390" s="5">
        <v>10</v>
      </c>
      <c r="M390" s="5" t="s">
        <v>500</v>
      </c>
    </row>
    <row r="391" spans="1:13" x14ac:dyDescent="0.25">
      <c r="A391" s="4">
        <v>522</v>
      </c>
      <c r="B391" s="5" t="s">
        <v>11</v>
      </c>
      <c r="C391" s="6" t="s">
        <v>238</v>
      </c>
      <c r="D391" s="5">
        <f>VLOOKUP(C391,'PESO GRUPO'!A$1:B$9,2,FALSE)</f>
        <v>30</v>
      </c>
      <c r="E391" s="6" t="s">
        <v>344</v>
      </c>
      <c r="F391" s="5">
        <f>VLOOKUP(E391,'PESOS SUBGRUPOS'!B$2:C$193,2,FALSE)</f>
        <v>20</v>
      </c>
      <c r="G391" s="6" t="s">
        <v>323</v>
      </c>
      <c r="H391" s="7" t="s">
        <v>15</v>
      </c>
      <c r="I391" s="5">
        <v>10</v>
      </c>
      <c r="M391" s="5" t="s">
        <v>500</v>
      </c>
    </row>
    <row r="392" spans="1:13" x14ac:dyDescent="0.25">
      <c r="A392" s="4">
        <v>523</v>
      </c>
      <c r="B392" s="5" t="s">
        <v>11</v>
      </c>
      <c r="C392" s="6" t="s">
        <v>238</v>
      </c>
      <c r="D392" s="5">
        <f>VLOOKUP(C392,'PESO GRUPO'!A$1:B$9,2,FALSE)</f>
        <v>30</v>
      </c>
      <c r="E392" s="6" t="s">
        <v>344</v>
      </c>
      <c r="F392" s="5">
        <f>VLOOKUP(E392,'PESOS SUBGRUPOS'!B$2:C$193,2,FALSE)</f>
        <v>20</v>
      </c>
      <c r="G392" s="6" t="s">
        <v>345</v>
      </c>
      <c r="H392" s="7" t="s">
        <v>15</v>
      </c>
      <c r="I392" s="5">
        <v>10</v>
      </c>
      <c r="M392" s="5" t="s">
        <v>500</v>
      </c>
    </row>
    <row r="393" spans="1:13" x14ac:dyDescent="0.25">
      <c r="A393" s="4">
        <v>524</v>
      </c>
      <c r="B393" s="5" t="s">
        <v>11</v>
      </c>
      <c r="C393" s="6" t="s">
        <v>238</v>
      </c>
      <c r="D393" s="5">
        <f>VLOOKUP(C393,'PESO GRUPO'!A$1:B$9,2,FALSE)</f>
        <v>30</v>
      </c>
      <c r="E393" s="6" t="s">
        <v>346</v>
      </c>
      <c r="F393" s="5">
        <f>VLOOKUP(E393,'PESOS SUBGRUPOS'!B$2:C$193,2,FALSE)</f>
        <v>20</v>
      </c>
      <c r="G393" s="6" t="s">
        <v>347</v>
      </c>
      <c r="H393" s="7" t="s">
        <v>15</v>
      </c>
      <c r="I393" s="5">
        <v>10</v>
      </c>
      <c r="M393" s="5" t="s">
        <v>500</v>
      </c>
    </row>
    <row r="394" spans="1:13" x14ac:dyDescent="0.25">
      <c r="A394" s="4">
        <v>525</v>
      </c>
      <c r="B394" s="5" t="s">
        <v>11</v>
      </c>
      <c r="C394" s="6" t="s">
        <v>238</v>
      </c>
      <c r="D394" s="5">
        <f>VLOOKUP(C394,'PESO GRUPO'!A$1:B$9,2,FALSE)</f>
        <v>30</v>
      </c>
      <c r="E394" s="6" t="s">
        <v>346</v>
      </c>
      <c r="F394" s="5">
        <f>VLOOKUP(E394,'PESOS SUBGRUPOS'!B$2:C$193,2,FALSE)</f>
        <v>20</v>
      </c>
      <c r="G394" s="6" t="s">
        <v>219</v>
      </c>
      <c r="H394" s="7" t="s">
        <v>15</v>
      </c>
      <c r="I394" s="5">
        <v>10</v>
      </c>
      <c r="M394" s="5" t="s">
        <v>500</v>
      </c>
    </row>
    <row r="395" spans="1:13" x14ac:dyDescent="0.25">
      <c r="A395" s="4">
        <v>526</v>
      </c>
      <c r="B395" s="5" t="s">
        <v>11</v>
      </c>
      <c r="C395" s="6" t="s">
        <v>238</v>
      </c>
      <c r="D395" s="5">
        <f>VLOOKUP(C395,'PESO GRUPO'!A$1:B$9,2,FALSE)</f>
        <v>30</v>
      </c>
      <c r="E395" s="6" t="s">
        <v>346</v>
      </c>
      <c r="F395" s="5">
        <f>VLOOKUP(E395,'PESOS SUBGRUPOS'!B$2:C$193,2,FALSE)</f>
        <v>20</v>
      </c>
      <c r="G395" s="6" t="s">
        <v>290</v>
      </c>
      <c r="H395" s="7" t="s">
        <v>15</v>
      </c>
      <c r="I395" s="5">
        <v>10</v>
      </c>
      <c r="M395" s="5" t="s">
        <v>500</v>
      </c>
    </row>
    <row r="396" spans="1:13" x14ac:dyDescent="0.25">
      <c r="A396" s="4">
        <v>527</v>
      </c>
      <c r="B396" s="5" t="s">
        <v>11</v>
      </c>
      <c r="C396" s="6" t="s">
        <v>238</v>
      </c>
      <c r="D396" s="5">
        <f>VLOOKUP(C396,'PESO GRUPO'!A$1:B$9,2,FALSE)</f>
        <v>30</v>
      </c>
      <c r="E396" s="6" t="s">
        <v>346</v>
      </c>
      <c r="F396" s="5">
        <f>VLOOKUP(E396,'PESOS SUBGRUPOS'!B$2:C$193,2,FALSE)</f>
        <v>20</v>
      </c>
      <c r="G396" s="6" t="s">
        <v>282</v>
      </c>
      <c r="H396" s="7" t="s">
        <v>15</v>
      </c>
      <c r="I396" s="5">
        <v>10</v>
      </c>
      <c r="M396" s="5" t="s">
        <v>500</v>
      </c>
    </row>
    <row r="397" spans="1:13" x14ac:dyDescent="0.25">
      <c r="A397" s="4">
        <v>528</v>
      </c>
      <c r="B397" s="5" t="s">
        <v>11</v>
      </c>
      <c r="C397" s="6" t="s">
        <v>238</v>
      </c>
      <c r="D397" s="5">
        <f>VLOOKUP(C397,'PESO GRUPO'!A$1:B$9,2,FALSE)</f>
        <v>30</v>
      </c>
      <c r="E397" s="6" t="s">
        <v>222</v>
      </c>
      <c r="F397" s="5">
        <f>VLOOKUP(E397,'PESOS SUBGRUPOS'!B$2:C$193,2,FALSE)</f>
        <v>60</v>
      </c>
      <c r="G397" s="6" t="s">
        <v>246</v>
      </c>
      <c r="H397" s="7" t="s">
        <v>15</v>
      </c>
      <c r="I397" s="5">
        <v>30</v>
      </c>
      <c r="M397" s="5" t="s">
        <v>500</v>
      </c>
    </row>
    <row r="398" spans="1:13" x14ac:dyDescent="0.25">
      <c r="A398" s="4">
        <v>529</v>
      </c>
      <c r="B398" s="5" t="s">
        <v>11</v>
      </c>
      <c r="C398" s="6" t="s">
        <v>238</v>
      </c>
      <c r="D398" s="5">
        <f>VLOOKUP(C398,'PESO GRUPO'!A$1:B$9,2,FALSE)</f>
        <v>30</v>
      </c>
      <c r="E398" s="6" t="s">
        <v>222</v>
      </c>
      <c r="F398" s="5">
        <f>VLOOKUP(E398,'PESOS SUBGRUPOS'!B$2:C$193,2,FALSE)</f>
        <v>60</v>
      </c>
      <c r="G398" s="6" t="s">
        <v>247</v>
      </c>
      <c r="H398" s="7" t="s">
        <v>15</v>
      </c>
      <c r="I398" s="5">
        <v>10</v>
      </c>
      <c r="M398" s="5" t="s">
        <v>500</v>
      </c>
    </row>
    <row r="399" spans="1:13" x14ac:dyDescent="0.25">
      <c r="A399" s="4">
        <v>530</v>
      </c>
      <c r="B399" s="5" t="s">
        <v>11</v>
      </c>
      <c r="C399" s="6" t="s">
        <v>238</v>
      </c>
      <c r="D399" s="5">
        <f>VLOOKUP(C399,'PESO GRUPO'!A$1:B$9,2,FALSE)</f>
        <v>30</v>
      </c>
      <c r="E399" s="6" t="s">
        <v>222</v>
      </c>
      <c r="F399" s="5">
        <f>VLOOKUP(E399,'PESOS SUBGRUPOS'!B$2:C$193,2,FALSE)</f>
        <v>60</v>
      </c>
      <c r="G399" s="6" t="s">
        <v>248</v>
      </c>
      <c r="H399" s="7" t="s">
        <v>15</v>
      </c>
      <c r="I399" s="5">
        <v>30</v>
      </c>
      <c r="M399" s="5" t="s">
        <v>500</v>
      </c>
    </row>
    <row r="400" spans="1:13" x14ac:dyDescent="0.25">
      <c r="A400" s="4">
        <v>531</v>
      </c>
      <c r="B400" s="5" t="s">
        <v>11</v>
      </c>
      <c r="C400" s="6" t="s">
        <v>238</v>
      </c>
      <c r="D400" s="5">
        <f>VLOOKUP(C400,'PESO GRUPO'!A$1:B$9,2,FALSE)</f>
        <v>30</v>
      </c>
      <c r="E400" s="6" t="s">
        <v>222</v>
      </c>
      <c r="F400" s="5">
        <f>VLOOKUP(E400,'PESOS SUBGRUPOS'!B$2:C$193,2,FALSE)</f>
        <v>60</v>
      </c>
      <c r="G400" s="6" t="s">
        <v>249</v>
      </c>
      <c r="H400" s="7" t="s">
        <v>15</v>
      </c>
      <c r="I400" s="5">
        <v>10</v>
      </c>
      <c r="M400" s="5" t="s">
        <v>500</v>
      </c>
    </row>
    <row r="401" spans="1:13" x14ac:dyDescent="0.25">
      <c r="A401" s="4">
        <v>532</v>
      </c>
      <c r="B401" s="5" t="s">
        <v>11</v>
      </c>
      <c r="C401" s="6" t="s">
        <v>238</v>
      </c>
      <c r="D401" s="5">
        <f>VLOOKUP(C401,'PESO GRUPO'!A$1:B$9,2,FALSE)</f>
        <v>30</v>
      </c>
      <c r="E401" s="6" t="s">
        <v>222</v>
      </c>
      <c r="F401" s="5">
        <f>VLOOKUP(E401,'PESOS SUBGRUPOS'!B$2:C$193,2,FALSE)</f>
        <v>60</v>
      </c>
      <c r="G401" s="6" t="s">
        <v>258</v>
      </c>
      <c r="H401" s="7" t="s">
        <v>15</v>
      </c>
      <c r="I401" s="5">
        <v>10</v>
      </c>
      <c r="M401" s="5" t="s">
        <v>500</v>
      </c>
    </row>
    <row r="402" spans="1:13" x14ac:dyDescent="0.25">
      <c r="A402" s="4">
        <v>533</v>
      </c>
      <c r="B402" s="5" t="s">
        <v>11</v>
      </c>
      <c r="C402" s="6" t="s">
        <v>238</v>
      </c>
      <c r="D402" s="5">
        <f>VLOOKUP(C402,'PESO GRUPO'!A$1:B$9,2,FALSE)</f>
        <v>30</v>
      </c>
      <c r="E402" s="6" t="s">
        <v>222</v>
      </c>
      <c r="F402" s="5">
        <f>VLOOKUP(E402,'PESOS SUBGRUPOS'!B$2:C$193,2,FALSE)</f>
        <v>60</v>
      </c>
      <c r="G402" s="6" t="s">
        <v>251</v>
      </c>
      <c r="H402" s="7" t="s">
        <v>15</v>
      </c>
      <c r="I402" s="5">
        <v>10</v>
      </c>
      <c r="M402" s="5" t="s">
        <v>500</v>
      </c>
    </row>
    <row r="403" spans="1:13" x14ac:dyDescent="0.25">
      <c r="A403" s="4">
        <v>534</v>
      </c>
      <c r="B403" s="5" t="s">
        <v>11</v>
      </c>
      <c r="C403" s="6" t="s">
        <v>238</v>
      </c>
      <c r="D403" s="5">
        <f>VLOOKUP(C403,'PESO GRUPO'!A$1:B$9,2,FALSE)</f>
        <v>30</v>
      </c>
      <c r="E403" s="6" t="s">
        <v>222</v>
      </c>
      <c r="F403" s="5">
        <f>VLOOKUP(E403,'PESOS SUBGRUPOS'!B$2:C$193,2,FALSE)</f>
        <v>60</v>
      </c>
      <c r="G403" s="6" t="s">
        <v>253</v>
      </c>
      <c r="H403" s="7" t="s">
        <v>15</v>
      </c>
      <c r="I403" s="5">
        <v>10</v>
      </c>
      <c r="M403" s="5" t="s">
        <v>500</v>
      </c>
    </row>
    <row r="404" spans="1:13" x14ac:dyDescent="0.25">
      <c r="A404" s="4">
        <v>535</v>
      </c>
      <c r="B404" s="5" t="s">
        <v>11</v>
      </c>
      <c r="C404" s="6" t="s">
        <v>238</v>
      </c>
      <c r="D404" s="5">
        <f>VLOOKUP(C404,'PESO GRUPO'!A$1:B$9,2,FALSE)</f>
        <v>30</v>
      </c>
      <c r="E404" s="6" t="s">
        <v>222</v>
      </c>
      <c r="F404" s="5">
        <f>VLOOKUP(E404,'PESOS SUBGRUPOS'!B$2:C$193,2,FALSE)</f>
        <v>60</v>
      </c>
      <c r="G404" s="6" t="s">
        <v>348</v>
      </c>
      <c r="H404" s="7" t="s">
        <v>15</v>
      </c>
      <c r="I404" s="5">
        <v>10</v>
      </c>
      <c r="M404" s="5" t="s">
        <v>500</v>
      </c>
    </row>
    <row r="405" spans="1:13" x14ac:dyDescent="0.25">
      <c r="A405" s="4">
        <v>536</v>
      </c>
      <c r="B405" s="5" t="s">
        <v>11</v>
      </c>
      <c r="C405" s="6" t="s">
        <v>238</v>
      </c>
      <c r="D405" s="5">
        <f>VLOOKUP(C405,'PESO GRUPO'!A$1:B$9,2,FALSE)</f>
        <v>30</v>
      </c>
      <c r="E405" s="6" t="s">
        <v>463</v>
      </c>
      <c r="F405" s="5">
        <f>VLOOKUP(E405,'PESOS SUBGRUPOS'!B$2:C$193,2,FALSE)</f>
        <v>80</v>
      </c>
      <c r="G405" s="6" t="s">
        <v>153</v>
      </c>
      <c r="H405" s="7" t="s">
        <v>15</v>
      </c>
      <c r="I405" s="5">
        <v>20</v>
      </c>
      <c r="M405" s="5" t="s">
        <v>500</v>
      </c>
    </row>
    <row r="406" spans="1:13" x14ac:dyDescent="0.25">
      <c r="A406" s="4">
        <v>537</v>
      </c>
      <c r="B406" s="5" t="s">
        <v>11</v>
      </c>
      <c r="C406" s="6" t="s">
        <v>238</v>
      </c>
      <c r="D406" s="5">
        <f>VLOOKUP(C406,'PESO GRUPO'!A$1:B$9,2,FALSE)</f>
        <v>30</v>
      </c>
      <c r="E406" s="6" t="s">
        <v>463</v>
      </c>
      <c r="F406" s="5">
        <f>VLOOKUP(E406,'PESOS SUBGRUPOS'!B$2:C$193,2,FALSE)</f>
        <v>80</v>
      </c>
      <c r="G406" s="6" t="s">
        <v>290</v>
      </c>
      <c r="H406" s="7" t="s">
        <v>15</v>
      </c>
      <c r="I406" s="5">
        <v>10</v>
      </c>
      <c r="M406" s="5" t="s">
        <v>500</v>
      </c>
    </row>
    <row r="407" spans="1:13" x14ac:dyDescent="0.25">
      <c r="A407" s="4">
        <v>538</v>
      </c>
      <c r="B407" s="5" t="s">
        <v>11</v>
      </c>
      <c r="C407" s="6" t="s">
        <v>238</v>
      </c>
      <c r="D407" s="5">
        <f>VLOOKUP(C407,'PESO GRUPO'!A$1:B$9,2,FALSE)</f>
        <v>30</v>
      </c>
      <c r="E407" s="6" t="s">
        <v>463</v>
      </c>
      <c r="F407" s="5">
        <f>VLOOKUP(E407,'PESOS SUBGRUPOS'!B$2:C$193,2,FALSE)</f>
        <v>80</v>
      </c>
      <c r="G407" s="6" t="s">
        <v>349</v>
      </c>
      <c r="H407" s="7" t="s">
        <v>15</v>
      </c>
      <c r="I407" s="5">
        <v>10</v>
      </c>
      <c r="M407" s="5" t="s">
        <v>500</v>
      </c>
    </row>
    <row r="408" spans="1:13" x14ac:dyDescent="0.25">
      <c r="A408" s="4">
        <v>539</v>
      </c>
      <c r="B408" s="5" t="s">
        <v>11</v>
      </c>
      <c r="C408" s="6" t="s">
        <v>238</v>
      </c>
      <c r="D408" s="5">
        <f>VLOOKUP(C408,'PESO GRUPO'!A$1:B$9,2,FALSE)</f>
        <v>30</v>
      </c>
      <c r="E408" s="6" t="s">
        <v>463</v>
      </c>
      <c r="F408" s="5">
        <f>VLOOKUP(E408,'PESOS SUBGRUPOS'!B$2:C$193,2,FALSE)</f>
        <v>80</v>
      </c>
      <c r="G408" s="6" t="s">
        <v>464</v>
      </c>
      <c r="H408" s="7" t="s">
        <v>15</v>
      </c>
      <c r="I408" s="5">
        <v>10</v>
      </c>
      <c r="M408" s="5" t="s">
        <v>500</v>
      </c>
    </row>
    <row r="409" spans="1:13" x14ac:dyDescent="0.25">
      <c r="A409" s="4">
        <v>540</v>
      </c>
      <c r="B409" s="5" t="s">
        <v>11</v>
      </c>
      <c r="C409" s="6" t="s">
        <v>238</v>
      </c>
      <c r="D409" s="5">
        <f>VLOOKUP(C409,'PESO GRUPO'!A$1:B$9,2,FALSE)</f>
        <v>30</v>
      </c>
      <c r="E409" s="6" t="s">
        <v>463</v>
      </c>
      <c r="F409" s="5">
        <f>VLOOKUP(E409,'PESOS SUBGRUPOS'!B$2:C$193,2,FALSE)</f>
        <v>80</v>
      </c>
      <c r="G409" s="6" t="s">
        <v>465</v>
      </c>
      <c r="H409" s="7" t="s">
        <v>15</v>
      </c>
      <c r="I409" s="5">
        <v>10</v>
      </c>
      <c r="M409" s="5" t="s">
        <v>500</v>
      </c>
    </row>
    <row r="410" spans="1:13" x14ac:dyDescent="0.25">
      <c r="A410" s="4">
        <v>541</v>
      </c>
      <c r="B410" s="5" t="s">
        <v>11</v>
      </c>
      <c r="C410" s="6" t="s">
        <v>238</v>
      </c>
      <c r="D410" s="5">
        <f>VLOOKUP(C410,'PESO GRUPO'!A$1:B$9,2,FALSE)</f>
        <v>30</v>
      </c>
      <c r="E410" s="6" t="s">
        <v>466</v>
      </c>
      <c r="F410" s="5">
        <f>VLOOKUP(E410,'PESOS SUBGRUPOS'!B$2:C$193,2,FALSE)</f>
        <v>60</v>
      </c>
      <c r="G410" s="6" t="s">
        <v>153</v>
      </c>
      <c r="H410" s="7" t="s">
        <v>15</v>
      </c>
      <c r="I410" s="5">
        <v>10</v>
      </c>
      <c r="M410" s="5" t="s">
        <v>500</v>
      </c>
    </row>
    <row r="411" spans="1:13" x14ac:dyDescent="0.25">
      <c r="A411" s="4">
        <v>542</v>
      </c>
      <c r="B411" s="5" t="s">
        <v>11</v>
      </c>
      <c r="C411" s="6" t="s">
        <v>238</v>
      </c>
      <c r="D411" s="5">
        <f>VLOOKUP(C411,'PESO GRUPO'!A$1:B$9,2,FALSE)</f>
        <v>30</v>
      </c>
      <c r="E411" s="6" t="s">
        <v>466</v>
      </c>
      <c r="F411" s="5">
        <f>VLOOKUP(E411,'PESOS SUBGRUPOS'!B$2:C$193,2,FALSE)</f>
        <v>60</v>
      </c>
      <c r="G411" s="6" t="s">
        <v>290</v>
      </c>
      <c r="H411" s="7" t="s">
        <v>15</v>
      </c>
      <c r="I411" s="5">
        <v>10</v>
      </c>
      <c r="M411" s="5" t="s">
        <v>500</v>
      </c>
    </row>
    <row r="412" spans="1:13" x14ac:dyDescent="0.25">
      <c r="A412" s="4">
        <v>543</v>
      </c>
      <c r="B412" s="5" t="s">
        <v>11</v>
      </c>
      <c r="C412" s="6" t="s">
        <v>238</v>
      </c>
      <c r="D412" s="5">
        <f>VLOOKUP(C412,'PESO GRUPO'!A$1:B$9,2,FALSE)</f>
        <v>30</v>
      </c>
      <c r="E412" s="6" t="s">
        <v>466</v>
      </c>
      <c r="F412" s="5">
        <f>VLOOKUP(E412,'PESOS SUBGRUPOS'!B$2:C$193,2,FALSE)</f>
        <v>60</v>
      </c>
      <c r="G412" s="6" t="s">
        <v>467</v>
      </c>
      <c r="H412" s="7" t="s">
        <v>15</v>
      </c>
      <c r="I412" s="5">
        <v>10</v>
      </c>
      <c r="M412" s="5" t="s">
        <v>500</v>
      </c>
    </row>
    <row r="413" spans="1:13" x14ac:dyDescent="0.25">
      <c r="A413" s="4">
        <v>544</v>
      </c>
      <c r="B413" s="5" t="s">
        <v>11</v>
      </c>
      <c r="C413" s="6" t="s">
        <v>238</v>
      </c>
      <c r="D413" s="5">
        <f>VLOOKUP(C413,'PESO GRUPO'!A$1:B$9,2,FALSE)</f>
        <v>30</v>
      </c>
      <c r="E413" s="6" t="s">
        <v>350</v>
      </c>
      <c r="F413" s="5">
        <f>VLOOKUP(E413,'PESOS SUBGRUPOS'!B$2:C$193,2,FALSE)</f>
        <v>100</v>
      </c>
      <c r="G413" s="6" t="s">
        <v>351</v>
      </c>
      <c r="H413" s="7" t="s">
        <v>15</v>
      </c>
      <c r="I413" s="5">
        <v>10</v>
      </c>
      <c r="M413" s="5" t="s">
        <v>500</v>
      </c>
    </row>
    <row r="414" spans="1:13" x14ac:dyDescent="0.25">
      <c r="A414" s="4">
        <v>545</v>
      </c>
      <c r="B414" s="5" t="s">
        <v>11</v>
      </c>
      <c r="C414" s="6" t="s">
        <v>238</v>
      </c>
      <c r="D414" s="5">
        <f>VLOOKUP(C414,'PESO GRUPO'!A$1:B$9,2,FALSE)</f>
        <v>30</v>
      </c>
      <c r="E414" s="6" t="s">
        <v>350</v>
      </c>
      <c r="F414" s="5">
        <f>VLOOKUP(E414,'PESOS SUBGRUPOS'!B$2:C$193,2,FALSE)</f>
        <v>100</v>
      </c>
      <c r="G414" s="6" t="s">
        <v>352</v>
      </c>
      <c r="H414" s="7" t="s">
        <v>15</v>
      </c>
      <c r="I414" s="5">
        <v>10</v>
      </c>
      <c r="M414" s="5" t="s">
        <v>500</v>
      </c>
    </row>
    <row r="415" spans="1:13" x14ac:dyDescent="0.25">
      <c r="A415" s="4">
        <v>546</v>
      </c>
      <c r="B415" s="5" t="s">
        <v>11</v>
      </c>
      <c r="C415" s="6" t="s">
        <v>238</v>
      </c>
      <c r="D415" s="5">
        <f>VLOOKUP(C415,'PESO GRUPO'!A$1:B$9,2,FALSE)</f>
        <v>30</v>
      </c>
      <c r="E415" s="6" t="s">
        <v>350</v>
      </c>
      <c r="F415" s="5">
        <f>VLOOKUP(E415,'PESOS SUBGRUPOS'!B$2:C$193,2,FALSE)</f>
        <v>100</v>
      </c>
      <c r="G415" s="6" t="s">
        <v>353</v>
      </c>
      <c r="H415" s="7" t="s">
        <v>15</v>
      </c>
      <c r="I415" s="5">
        <v>10</v>
      </c>
      <c r="M415" s="5" t="s">
        <v>500</v>
      </c>
    </row>
    <row r="416" spans="1:13" x14ac:dyDescent="0.25">
      <c r="A416" s="4">
        <v>547</v>
      </c>
      <c r="B416" s="5" t="s">
        <v>11</v>
      </c>
      <c r="C416" s="6" t="s">
        <v>238</v>
      </c>
      <c r="D416" s="5">
        <f>VLOOKUP(C416,'PESO GRUPO'!A$1:B$9,2,FALSE)</f>
        <v>30</v>
      </c>
      <c r="E416" s="6" t="s">
        <v>350</v>
      </c>
      <c r="F416" s="5">
        <f>VLOOKUP(E416,'PESOS SUBGRUPOS'!B$2:C$193,2,FALSE)</f>
        <v>100</v>
      </c>
      <c r="G416" s="6" t="s">
        <v>354</v>
      </c>
      <c r="H416" s="7" t="s">
        <v>15</v>
      </c>
      <c r="I416" s="5">
        <v>10</v>
      </c>
      <c r="M416" s="5" t="s">
        <v>500</v>
      </c>
    </row>
    <row r="417" spans="1:13" x14ac:dyDescent="0.25">
      <c r="A417" s="4">
        <v>548</v>
      </c>
      <c r="B417" s="5" t="s">
        <v>11</v>
      </c>
      <c r="C417" s="6" t="s">
        <v>238</v>
      </c>
      <c r="D417" s="5">
        <f>VLOOKUP(C417,'PESO GRUPO'!A$1:B$9,2,FALSE)</f>
        <v>30</v>
      </c>
      <c r="E417" s="6" t="s">
        <v>350</v>
      </c>
      <c r="F417" s="5">
        <f>VLOOKUP(E417,'PESOS SUBGRUPOS'!B$2:C$193,2,FALSE)</f>
        <v>100</v>
      </c>
      <c r="G417" s="6" t="s">
        <v>246</v>
      </c>
      <c r="H417" s="7" t="s">
        <v>15</v>
      </c>
      <c r="I417" s="5">
        <v>30</v>
      </c>
      <c r="M417" s="5" t="s">
        <v>500</v>
      </c>
    </row>
    <row r="418" spans="1:13" x14ac:dyDescent="0.25">
      <c r="A418" s="4">
        <v>549</v>
      </c>
      <c r="B418" s="5" t="s">
        <v>11</v>
      </c>
      <c r="C418" s="6" t="s">
        <v>238</v>
      </c>
      <c r="D418" s="5">
        <f>VLOOKUP(C418,'PESO GRUPO'!A$1:B$9,2,FALSE)</f>
        <v>30</v>
      </c>
      <c r="E418" s="6" t="s">
        <v>350</v>
      </c>
      <c r="F418" s="5">
        <f>VLOOKUP(E418,'PESOS SUBGRUPOS'!B$2:C$193,2,FALSE)</f>
        <v>100</v>
      </c>
      <c r="G418" s="6" t="s">
        <v>247</v>
      </c>
      <c r="H418" s="7" t="s">
        <v>15</v>
      </c>
      <c r="I418" s="5">
        <v>10</v>
      </c>
      <c r="M418" s="5" t="s">
        <v>500</v>
      </c>
    </row>
    <row r="419" spans="1:13" x14ac:dyDescent="0.25">
      <c r="A419" s="4">
        <v>550</v>
      </c>
      <c r="B419" s="5" t="s">
        <v>11</v>
      </c>
      <c r="C419" s="6" t="s">
        <v>238</v>
      </c>
      <c r="D419" s="5">
        <f>VLOOKUP(C419,'PESO GRUPO'!A$1:B$9,2,FALSE)</f>
        <v>30</v>
      </c>
      <c r="E419" s="6" t="s">
        <v>350</v>
      </c>
      <c r="F419" s="5">
        <f>VLOOKUP(E419,'PESOS SUBGRUPOS'!B$2:C$193,2,FALSE)</f>
        <v>100</v>
      </c>
      <c r="G419" s="6" t="s">
        <v>257</v>
      </c>
      <c r="H419" s="7" t="s">
        <v>15</v>
      </c>
      <c r="I419" s="5">
        <v>10</v>
      </c>
      <c r="M419" s="5" t="s">
        <v>500</v>
      </c>
    </row>
    <row r="420" spans="1:13" x14ac:dyDescent="0.25">
      <c r="A420" s="4">
        <v>551</v>
      </c>
      <c r="B420" s="5" t="s">
        <v>11</v>
      </c>
      <c r="C420" s="6" t="s">
        <v>238</v>
      </c>
      <c r="D420" s="5">
        <f>VLOOKUP(C420,'PESO GRUPO'!A$1:B$9,2,FALSE)</f>
        <v>30</v>
      </c>
      <c r="E420" s="6" t="s">
        <v>350</v>
      </c>
      <c r="F420" s="5">
        <f>VLOOKUP(E420,'PESOS SUBGRUPOS'!B$2:C$193,2,FALSE)</f>
        <v>100</v>
      </c>
      <c r="G420" s="6" t="s">
        <v>248</v>
      </c>
      <c r="H420" s="7" t="s">
        <v>15</v>
      </c>
      <c r="I420" s="5">
        <v>30</v>
      </c>
      <c r="M420" s="5" t="s">
        <v>500</v>
      </c>
    </row>
    <row r="421" spans="1:13" x14ac:dyDescent="0.25">
      <c r="A421" s="4">
        <v>552</v>
      </c>
      <c r="B421" s="5" t="s">
        <v>11</v>
      </c>
      <c r="C421" s="6" t="s">
        <v>238</v>
      </c>
      <c r="D421" s="5">
        <f>VLOOKUP(C421,'PESO GRUPO'!A$1:B$9,2,FALSE)</f>
        <v>30</v>
      </c>
      <c r="E421" s="6" t="s">
        <v>350</v>
      </c>
      <c r="F421" s="5">
        <f>VLOOKUP(E421,'PESOS SUBGRUPOS'!B$2:C$193,2,FALSE)</f>
        <v>100</v>
      </c>
      <c r="G421" s="6" t="s">
        <v>249</v>
      </c>
      <c r="H421" s="7" t="s">
        <v>15</v>
      </c>
      <c r="I421" s="5">
        <v>10</v>
      </c>
      <c r="M421" s="5" t="s">
        <v>500</v>
      </c>
    </row>
    <row r="422" spans="1:13" x14ac:dyDescent="0.25">
      <c r="A422" s="4">
        <v>553</v>
      </c>
      <c r="B422" s="5" t="s">
        <v>11</v>
      </c>
      <c r="C422" s="6" t="s">
        <v>238</v>
      </c>
      <c r="D422" s="5">
        <f>VLOOKUP(C422,'PESO GRUPO'!A$1:B$9,2,FALSE)</f>
        <v>30</v>
      </c>
      <c r="E422" s="6" t="s">
        <v>350</v>
      </c>
      <c r="F422" s="5">
        <f>VLOOKUP(E422,'PESOS SUBGRUPOS'!B$2:C$193,2,FALSE)</f>
        <v>100</v>
      </c>
      <c r="G422" s="6" t="s">
        <v>258</v>
      </c>
      <c r="H422" s="7" t="s">
        <v>15</v>
      </c>
      <c r="I422" s="5">
        <v>10</v>
      </c>
      <c r="M422" s="5" t="s">
        <v>500</v>
      </c>
    </row>
    <row r="423" spans="1:13" x14ac:dyDescent="0.25">
      <c r="A423" s="4">
        <v>554</v>
      </c>
      <c r="B423" s="5" t="s">
        <v>11</v>
      </c>
      <c r="C423" s="6" t="s">
        <v>238</v>
      </c>
      <c r="D423" s="5">
        <f>VLOOKUP(C423,'PESO GRUPO'!A$1:B$9,2,FALSE)</f>
        <v>30</v>
      </c>
      <c r="E423" s="6" t="s">
        <v>350</v>
      </c>
      <c r="F423" s="5">
        <f>VLOOKUP(E423,'PESOS SUBGRUPOS'!B$2:C$193,2,FALSE)</f>
        <v>100</v>
      </c>
      <c r="G423" s="6" t="s">
        <v>251</v>
      </c>
      <c r="H423" s="7" t="s">
        <v>15</v>
      </c>
      <c r="I423" s="5">
        <v>10</v>
      </c>
      <c r="M423" s="5" t="s">
        <v>500</v>
      </c>
    </row>
    <row r="424" spans="1:13" x14ac:dyDescent="0.25">
      <c r="A424" s="4">
        <v>555</v>
      </c>
      <c r="B424" s="5" t="s">
        <v>11</v>
      </c>
      <c r="C424" s="6" t="s">
        <v>238</v>
      </c>
      <c r="D424" s="5">
        <f>VLOOKUP(C424,'PESO GRUPO'!A$1:B$9,2,FALSE)</f>
        <v>30</v>
      </c>
      <c r="E424" s="6" t="s">
        <v>350</v>
      </c>
      <c r="F424" s="5">
        <f>VLOOKUP(E424,'PESOS SUBGRUPOS'!B$2:C$193,2,FALSE)</f>
        <v>100</v>
      </c>
      <c r="G424" s="6" t="s">
        <v>253</v>
      </c>
      <c r="H424" s="7" t="s">
        <v>15</v>
      </c>
      <c r="I424" s="5">
        <v>10</v>
      </c>
      <c r="M424" s="5" t="s">
        <v>500</v>
      </c>
    </row>
    <row r="425" spans="1:13" x14ac:dyDescent="0.25">
      <c r="A425" s="4">
        <v>556</v>
      </c>
      <c r="B425" s="5" t="s">
        <v>11</v>
      </c>
      <c r="C425" s="6" t="s">
        <v>238</v>
      </c>
      <c r="D425" s="5">
        <f>VLOOKUP(C425,'PESO GRUPO'!A$1:B$9,2,FALSE)</f>
        <v>30</v>
      </c>
      <c r="E425" s="6" t="s">
        <v>350</v>
      </c>
      <c r="F425" s="5">
        <f>VLOOKUP(E425,'PESOS SUBGRUPOS'!B$2:C$193,2,FALSE)</f>
        <v>100</v>
      </c>
      <c r="G425" s="6" t="s">
        <v>266</v>
      </c>
      <c r="H425" s="7" t="s">
        <v>15</v>
      </c>
      <c r="I425" s="5">
        <v>10</v>
      </c>
      <c r="M425" s="5" t="s">
        <v>500</v>
      </c>
    </row>
    <row r="426" spans="1:13" x14ac:dyDescent="0.25">
      <c r="A426" s="4">
        <v>557</v>
      </c>
      <c r="B426" s="5" t="s">
        <v>11</v>
      </c>
      <c r="C426" s="6" t="s">
        <v>238</v>
      </c>
      <c r="D426" s="5">
        <f>VLOOKUP(C426,'PESO GRUPO'!A$1:B$9,2,FALSE)</f>
        <v>30</v>
      </c>
      <c r="E426" s="6" t="s">
        <v>350</v>
      </c>
      <c r="F426" s="5">
        <f>VLOOKUP(E426,'PESOS SUBGRUPOS'!B$2:C$193,2,FALSE)</f>
        <v>100</v>
      </c>
      <c r="G426" s="6" t="s">
        <v>355</v>
      </c>
      <c r="H426" s="7" t="s">
        <v>15</v>
      </c>
      <c r="I426" s="5">
        <v>10</v>
      </c>
      <c r="M426" s="5" t="s">
        <v>500</v>
      </c>
    </row>
    <row r="427" spans="1:13" x14ac:dyDescent="0.25">
      <c r="A427" s="4">
        <v>558</v>
      </c>
      <c r="B427" s="5" t="s">
        <v>11</v>
      </c>
      <c r="C427" s="6" t="s">
        <v>238</v>
      </c>
      <c r="D427" s="5">
        <f>VLOOKUP(C427,'PESO GRUPO'!A$1:B$9,2,FALSE)</f>
        <v>30</v>
      </c>
      <c r="E427" s="6" t="s">
        <v>356</v>
      </c>
      <c r="F427" s="5">
        <f>VLOOKUP(E427,'PESOS SUBGRUPOS'!B$2:C$193,2,FALSE)</f>
        <v>80</v>
      </c>
      <c r="G427" s="6" t="s">
        <v>357</v>
      </c>
      <c r="H427" s="7" t="s">
        <v>15</v>
      </c>
      <c r="I427" s="5">
        <v>10</v>
      </c>
      <c r="M427" s="5" t="s">
        <v>500</v>
      </c>
    </row>
    <row r="428" spans="1:13" x14ac:dyDescent="0.25">
      <c r="A428" s="4">
        <v>559</v>
      </c>
      <c r="B428" s="5" t="s">
        <v>11</v>
      </c>
      <c r="C428" s="6" t="s">
        <v>238</v>
      </c>
      <c r="D428" s="5">
        <f>VLOOKUP(C428,'PESO GRUPO'!A$1:B$9,2,FALSE)</f>
        <v>30</v>
      </c>
      <c r="E428" s="6" t="s">
        <v>356</v>
      </c>
      <c r="F428" s="5">
        <f>VLOOKUP(E428,'PESOS SUBGRUPOS'!B$2:C$193,2,FALSE)</f>
        <v>80</v>
      </c>
      <c r="G428" s="6" t="s">
        <v>468</v>
      </c>
      <c r="H428" s="7" t="s">
        <v>15</v>
      </c>
      <c r="I428" s="5">
        <v>10</v>
      </c>
      <c r="M428" s="5" t="s">
        <v>500</v>
      </c>
    </row>
    <row r="429" spans="1:13" x14ac:dyDescent="0.25">
      <c r="A429" s="4">
        <v>560</v>
      </c>
      <c r="B429" s="5" t="s">
        <v>11</v>
      </c>
      <c r="C429" s="6" t="s">
        <v>238</v>
      </c>
      <c r="D429" s="5">
        <f>VLOOKUP(C429,'PESO GRUPO'!A$1:B$9,2,FALSE)</f>
        <v>30</v>
      </c>
      <c r="E429" s="6" t="s">
        <v>356</v>
      </c>
      <c r="F429" s="5">
        <f>VLOOKUP(E429,'PESOS SUBGRUPOS'!B$2:C$193,2,FALSE)</f>
        <v>80</v>
      </c>
      <c r="G429" s="6" t="s">
        <v>358</v>
      </c>
      <c r="H429" s="7" t="s">
        <v>15</v>
      </c>
      <c r="I429" s="5">
        <v>10</v>
      </c>
      <c r="M429" s="5" t="s">
        <v>500</v>
      </c>
    </row>
    <row r="430" spans="1:13" x14ac:dyDescent="0.25">
      <c r="A430" s="4">
        <v>561</v>
      </c>
      <c r="B430" s="5" t="s">
        <v>11</v>
      </c>
      <c r="C430" s="6" t="s">
        <v>238</v>
      </c>
      <c r="D430" s="5">
        <f>VLOOKUP(C430,'PESO GRUPO'!A$1:B$9,2,FALSE)</f>
        <v>30</v>
      </c>
      <c r="E430" s="6" t="s">
        <v>356</v>
      </c>
      <c r="F430" s="5">
        <f>VLOOKUP(E430,'PESOS SUBGRUPOS'!B$2:C$193,2,FALSE)</f>
        <v>80</v>
      </c>
      <c r="G430" s="6" t="s">
        <v>359</v>
      </c>
      <c r="H430" s="7" t="s">
        <v>15</v>
      </c>
      <c r="I430" s="5">
        <v>10</v>
      </c>
      <c r="M430" s="5" t="s">
        <v>500</v>
      </c>
    </row>
    <row r="431" spans="1:13" x14ac:dyDescent="0.25">
      <c r="A431" s="4">
        <v>562</v>
      </c>
      <c r="B431" s="5" t="s">
        <v>11</v>
      </c>
      <c r="C431" s="6" t="s">
        <v>238</v>
      </c>
      <c r="D431" s="5">
        <f>VLOOKUP(C431,'PESO GRUPO'!A$1:B$9,2,FALSE)</f>
        <v>30</v>
      </c>
      <c r="E431" s="6" t="s">
        <v>356</v>
      </c>
      <c r="F431" s="5">
        <f>VLOOKUP(E431,'PESOS SUBGRUPOS'!B$2:C$193,2,FALSE)</f>
        <v>80</v>
      </c>
      <c r="G431" s="6" t="s">
        <v>360</v>
      </c>
      <c r="H431" s="7" t="s">
        <v>15</v>
      </c>
      <c r="I431" s="5">
        <v>10</v>
      </c>
      <c r="M431" s="5" t="s">
        <v>500</v>
      </c>
    </row>
    <row r="432" spans="1:13" x14ac:dyDescent="0.25">
      <c r="A432" s="4">
        <v>563</v>
      </c>
      <c r="B432" s="5" t="s">
        <v>11</v>
      </c>
      <c r="C432" s="6" t="s">
        <v>238</v>
      </c>
      <c r="D432" s="5">
        <f>VLOOKUP(C432,'PESO GRUPO'!A$1:B$9,2,FALSE)</f>
        <v>30</v>
      </c>
      <c r="E432" s="6" t="s">
        <v>356</v>
      </c>
      <c r="F432" s="5">
        <f>VLOOKUP(E432,'PESOS SUBGRUPOS'!B$2:C$193,2,FALSE)</f>
        <v>80</v>
      </c>
      <c r="G432" s="6" t="s">
        <v>361</v>
      </c>
      <c r="H432" s="7" t="s">
        <v>15</v>
      </c>
      <c r="I432" s="5">
        <v>10</v>
      </c>
      <c r="M432" s="5" t="s">
        <v>500</v>
      </c>
    </row>
    <row r="433" spans="1:13" x14ac:dyDescent="0.25">
      <c r="A433" s="4">
        <v>564</v>
      </c>
      <c r="B433" s="5" t="s">
        <v>11</v>
      </c>
      <c r="C433" s="6" t="s">
        <v>238</v>
      </c>
      <c r="D433" s="5">
        <f>VLOOKUP(C433,'PESO GRUPO'!A$1:B$9,2,FALSE)</f>
        <v>30</v>
      </c>
      <c r="E433" s="6" t="s">
        <v>356</v>
      </c>
      <c r="F433" s="5">
        <f>VLOOKUP(E433,'PESOS SUBGRUPOS'!B$2:C$193,2,FALSE)</f>
        <v>80</v>
      </c>
      <c r="G433" s="6" t="s">
        <v>282</v>
      </c>
      <c r="H433" s="7" t="s">
        <v>15</v>
      </c>
      <c r="I433" s="5">
        <v>10</v>
      </c>
      <c r="M433" s="5" t="s">
        <v>500</v>
      </c>
    </row>
    <row r="434" spans="1:13" x14ac:dyDescent="0.25">
      <c r="A434" s="4">
        <v>565</v>
      </c>
      <c r="B434" s="5" t="s">
        <v>11</v>
      </c>
      <c r="C434" s="6" t="s">
        <v>238</v>
      </c>
      <c r="D434" s="5">
        <f>VLOOKUP(C434,'PESO GRUPO'!A$1:B$9,2,FALSE)</f>
        <v>30</v>
      </c>
      <c r="E434" s="6" t="s">
        <v>356</v>
      </c>
      <c r="F434" s="5">
        <f>VLOOKUP(E434,'PESOS SUBGRUPOS'!B$2:C$193,2,FALSE)</f>
        <v>80</v>
      </c>
      <c r="G434" s="6" t="s">
        <v>362</v>
      </c>
      <c r="H434" s="7" t="s">
        <v>15</v>
      </c>
      <c r="I434" s="5">
        <v>10</v>
      </c>
      <c r="M434" s="5" t="s">
        <v>500</v>
      </c>
    </row>
    <row r="435" spans="1:13" x14ac:dyDescent="0.25">
      <c r="A435" s="4">
        <v>566</v>
      </c>
      <c r="B435" s="5" t="s">
        <v>11</v>
      </c>
      <c r="C435" s="6" t="s">
        <v>238</v>
      </c>
      <c r="D435" s="5">
        <f>VLOOKUP(C435,'PESO GRUPO'!A$1:B$9,2,FALSE)</f>
        <v>30</v>
      </c>
      <c r="E435" s="6" t="s">
        <v>356</v>
      </c>
      <c r="F435" s="5">
        <f>VLOOKUP(E435,'PESOS SUBGRUPOS'!B$2:C$193,2,FALSE)</f>
        <v>80</v>
      </c>
      <c r="G435" s="6" t="s">
        <v>363</v>
      </c>
      <c r="H435" s="7" t="s">
        <v>15</v>
      </c>
      <c r="I435" s="5">
        <v>10</v>
      </c>
      <c r="M435" s="5" t="s">
        <v>500</v>
      </c>
    </row>
    <row r="436" spans="1:13" x14ac:dyDescent="0.25">
      <c r="A436" s="4">
        <v>567</v>
      </c>
      <c r="B436" s="5" t="s">
        <v>11</v>
      </c>
      <c r="C436" s="6" t="s">
        <v>238</v>
      </c>
      <c r="D436" s="5">
        <f>VLOOKUP(C436,'PESO GRUPO'!A$1:B$9,2,FALSE)</f>
        <v>30</v>
      </c>
      <c r="E436" s="6" t="s">
        <v>356</v>
      </c>
      <c r="F436" s="5">
        <f>VLOOKUP(E436,'PESOS SUBGRUPOS'!B$2:C$193,2,FALSE)</f>
        <v>80</v>
      </c>
      <c r="G436" s="6" t="s">
        <v>364</v>
      </c>
      <c r="H436" s="7" t="s">
        <v>15</v>
      </c>
      <c r="I436" s="5">
        <v>10</v>
      </c>
      <c r="M436" s="5" t="s">
        <v>500</v>
      </c>
    </row>
    <row r="437" spans="1:13" x14ac:dyDescent="0.25">
      <c r="A437" s="4">
        <v>568</v>
      </c>
      <c r="B437" s="5" t="s">
        <v>11</v>
      </c>
      <c r="C437" s="6" t="s">
        <v>238</v>
      </c>
      <c r="D437" s="5">
        <f>VLOOKUP(C437,'PESO GRUPO'!A$1:B$9,2,FALSE)</f>
        <v>30</v>
      </c>
      <c r="E437" s="6" t="s">
        <v>356</v>
      </c>
      <c r="F437" s="5">
        <f>VLOOKUP(E437,'PESOS SUBGRUPOS'!B$2:C$193,2,FALSE)</f>
        <v>80</v>
      </c>
      <c r="G437" s="6" t="s">
        <v>365</v>
      </c>
      <c r="H437" s="7" t="s">
        <v>15</v>
      </c>
      <c r="I437" s="5">
        <v>10</v>
      </c>
      <c r="M437" s="5" t="s">
        <v>500</v>
      </c>
    </row>
    <row r="438" spans="1:13" x14ac:dyDescent="0.25">
      <c r="A438" s="4">
        <v>569</v>
      </c>
      <c r="B438" s="5" t="s">
        <v>11</v>
      </c>
      <c r="C438" s="6" t="s">
        <v>238</v>
      </c>
      <c r="D438" s="5">
        <f>VLOOKUP(C438,'PESO GRUPO'!A$1:B$9,2,FALSE)</f>
        <v>30</v>
      </c>
      <c r="E438" s="6" t="s">
        <v>356</v>
      </c>
      <c r="F438" s="5">
        <f>VLOOKUP(E438,'PESOS SUBGRUPOS'!B$2:C$193,2,FALSE)</f>
        <v>80</v>
      </c>
      <c r="G438" s="6" t="s">
        <v>366</v>
      </c>
      <c r="H438" s="7" t="s">
        <v>15</v>
      </c>
      <c r="I438" s="5">
        <v>10</v>
      </c>
      <c r="M438" s="5" t="s">
        <v>500</v>
      </c>
    </row>
    <row r="439" spans="1:13" x14ac:dyDescent="0.25">
      <c r="A439" s="4">
        <v>570</v>
      </c>
      <c r="B439" s="5" t="s">
        <v>11</v>
      </c>
      <c r="C439" s="6" t="s">
        <v>238</v>
      </c>
      <c r="D439" s="5">
        <f>VLOOKUP(C439,'PESO GRUPO'!A$1:B$9,2,FALSE)</f>
        <v>30</v>
      </c>
      <c r="E439" s="6" t="s">
        <v>356</v>
      </c>
      <c r="F439" s="5">
        <f>VLOOKUP(E439,'PESOS SUBGRUPOS'!B$2:C$193,2,FALSE)</f>
        <v>80</v>
      </c>
      <c r="G439" s="6" t="s">
        <v>367</v>
      </c>
      <c r="H439" s="7" t="s">
        <v>15</v>
      </c>
      <c r="I439" s="5">
        <v>10</v>
      </c>
      <c r="M439" s="5" t="s">
        <v>500</v>
      </c>
    </row>
    <row r="440" spans="1:13" x14ac:dyDescent="0.25">
      <c r="A440" s="4">
        <v>571</v>
      </c>
      <c r="B440" s="5" t="s">
        <v>11</v>
      </c>
      <c r="C440" s="6" t="s">
        <v>238</v>
      </c>
      <c r="D440" s="5">
        <f>VLOOKUP(C440,'PESO GRUPO'!A$1:B$9,2,FALSE)</f>
        <v>30</v>
      </c>
      <c r="E440" s="6" t="s">
        <v>368</v>
      </c>
      <c r="F440" s="5">
        <f>VLOOKUP(E440,'PESOS SUBGRUPOS'!B$2:C$193,2,FALSE)</f>
        <v>20</v>
      </c>
      <c r="G440" s="6" t="s">
        <v>369</v>
      </c>
      <c r="H440" s="7" t="s">
        <v>15</v>
      </c>
      <c r="I440" s="5">
        <v>10</v>
      </c>
      <c r="M440" s="5" t="s">
        <v>500</v>
      </c>
    </row>
    <row r="441" spans="1:13" x14ac:dyDescent="0.25">
      <c r="A441" s="4">
        <v>572</v>
      </c>
      <c r="B441" s="5" t="s">
        <v>11</v>
      </c>
      <c r="C441" s="6" t="s">
        <v>238</v>
      </c>
      <c r="D441" s="5">
        <f>VLOOKUP(C441,'PESO GRUPO'!A$1:B$9,2,FALSE)</f>
        <v>30</v>
      </c>
      <c r="E441" s="6" t="s">
        <v>368</v>
      </c>
      <c r="F441" s="5">
        <f>VLOOKUP(E441,'PESOS SUBGRUPOS'!B$2:C$193,2,FALSE)</f>
        <v>20</v>
      </c>
      <c r="G441" s="6" t="s">
        <v>370</v>
      </c>
      <c r="H441" s="7" t="s">
        <v>15</v>
      </c>
      <c r="I441" s="5">
        <v>10</v>
      </c>
      <c r="M441" s="5" t="s">
        <v>500</v>
      </c>
    </row>
    <row r="442" spans="1:13" x14ac:dyDescent="0.25">
      <c r="A442" s="4">
        <v>573</v>
      </c>
      <c r="B442" s="5" t="s">
        <v>11</v>
      </c>
      <c r="C442" s="6" t="s">
        <v>238</v>
      </c>
      <c r="D442" s="5">
        <f>VLOOKUP(C442,'PESO GRUPO'!A$1:B$9,2,FALSE)</f>
        <v>30</v>
      </c>
      <c r="E442" s="6" t="s">
        <v>368</v>
      </c>
      <c r="F442" s="5">
        <f>VLOOKUP(E442,'PESOS SUBGRUPOS'!B$2:C$193,2,FALSE)</f>
        <v>20</v>
      </c>
      <c r="G442" s="6" t="s">
        <v>371</v>
      </c>
      <c r="H442" s="7" t="s">
        <v>15</v>
      </c>
      <c r="I442" s="5">
        <v>10</v>
      </c>
      <c r="M442" s="5" t="s">
        <v>500</v>
      </c>
    </row>
    <row r="443" spans="1:13" x14ac:dyDescent="0.25">
      <c r="A443" s="4">
        <v>574</v>
      </c>
      <c r="B443" s="5" t="s">
        <v>11</v>
      </c>
      <c r="C443" s="6" t="s">
        <v>238</v>
      </c>
      <c r="D443" s="5">
        <f>VLOOKUP(C443,'PESO GRUPO'!A$1:B$9,2,FALSE)</f>
        <v>30</v>
      </c>
      <c r="E443" s="6" t="s">
        <v>368</v>
      </c>
      <c r="F443" s="5">
        <f>VLOOKUP(E443,'PESOS SUBGRUPOS'!B$2:C$193,2,FALSE)</f>
        <v>20</v>
      </c>
      <c r="G443" s="6" t="s">
        <v>260</v>
      </c>
      <c r="H443" s="7" t="s">
        <v>15</v>
      </c>
      <c r="I443" s="5">
        <v>10</v>
      </c>
      <c r="M443" s="5" t="s">
        <v>500</v>
      </c>
    </row>
    <row r="444" spans="1:13" x14ac:dyDescent="0.25">
      <c r="A444" s="4">
        <v>575</v>
      </c>
      <c r="B444" s="5" t="s">
        <v>11</v>
      </c>
      <c r="C444" s="6" t="s">
        <v>238</v>
      </c>
      <c r="D444" s="5">
        <f>VLOOKUP(C444,'PESO GRUPO'!A$1:B$9,2,FALSE)</f>
        <v>30</v>
      </c>
      <c r="E444" s="6" t="s">
        <v>368</v>
      </c>
      <c r="F444" s="5">
        <f>VLOOKUP(E444,'PESOS SUBGRUPOS'!B$2:C$193,2,FALSE)</f>
        <v>20</v>
      </c>
      <c r="G444" s="6" t="s">
        <v>469</v>
      </c>
      <c r="H444" s="7" t="s">
        <v>15</v>
      </c>
      <c r="I444" s="5">
        <v>10</v>
      </c>
      <c r="M444" s="5" t="s">
        <v>500</v>
      </c>
    </row>
    <row r="445" spans="1:13" x14ac:dyDescent="0.25">
      <c r="A445" s="4">
        <v>576</v>
      </c>
      <c r="B445" s="5" t="s">
        <v>11</v>
      </c>
      <c r="C445" s="6" t="s">
        <v>238</v>
      </c>
      <c r="D445" s="5">
        <f>VLOOKUP(C445,'PESO GRUPO'!A$1:B$9,2,FALSE)</f>
        <v>30</v>
      </c>
      <c r="E445" s="6" t="s">
        <v>372</v>
      </c>
      <c r="F445" s="5">
        <f>VLOOKUP(E445,'PESOS SUBGRUPOS'!B$2:C$193,2,FALSE)</f>
        <v>80</v>
      </c>
      <c r="G445" s="6" t="s">
        <v>369</v>
      </c>
      <c r="H445" s="7" t="s">
        <v>15</v>
      </c>
      <c r="I445" s="5">
        <v>10</v>
      </c>
      <c r="M445" s="5" t="s">
        <v>500</v>
      </c>
    </row>
    <row r="446" spans="1:13" x14ac:dyDescent="0.25">
      <c r="A446" s="4">
        <v>577</v>
      </c>
      <c r="B446" s="5" t="s">
        <v>11</v>
      </c>
      <c r="C446" s="6" t="s">
        <v>238</v>
      </c>
      <c r="D446" s="5">
        <f>VLOOKUP(C446,'PESO GRUPO'!A$1:B$9,2,FALSE)</f>
        <v>30</v>
      </c>
      <c r="E446" s="6" t="s">
        <v>372</v>
      </c>
      <c r="F446" s="5">
        <f>VLOOKUP(E446,'PESOS SUBGRUPOS'!B$2:C$193,2,FALSE)</f>
        <v>80</v>
      </c>
      <c r="G446" s="6" t="s">
        <v>303</v>
      </c>
      <c r="H446" s="7" t="s">
        <v>15</v>
      </c>
      <c r="I446" s="5">
        <v>10</v>
      </c>
      <c r="M446" s="5" t="s">
        <v>500</v>
      </c>
    </row>
    <row r="447" spans="1:13" x14ac:dyDescent="0.25">
      <c r="A447" s="4">
        <v>578</v>
      </c>
      <c r="B447" s="5" t="s">
        <v>11</v>
      </c>
      <c r="C447" s="6" t="s">
        <v>238</v>
      </c>
      <c r="D447" s="5">
        <f>VLOOKUP(C447,'PESO GRUPO'!A$1:B$9,2,FALSE)</f>
        <v>30</v>
      </c>
      <c r="E447" s="6" t="s">
        <v>372</v>
      </c>
      <c r="F447" s="5">
        <f>VLOOKUP(E447,'PESOS SUBGRUPOS'!B$2:C$193,2,FALSE)</f>
        <v>80</v>
      </c>
      <c r="G447" s="6" t="s">
        <v>373</v>
      </c>
      <c r="H447" s="7" t="s">
        <v>15</v>
      </c>
      <c r="I447" s="5">
        <v>10</v>
      </c>
      <c r="M447" s="5" t="s">
        <v>500</v>
      </c>
    </row>
    <row r="448" spans="1:13" x14ac:dyDescent="0.25">
      <c r="A448" s="4">
        <v>579</v>
      </c>
      <c r="B448" s="5" t="s">
        <v>11</v>
      </c>
      <c r="C448" s="6" t="s">
        <v>238</v>
      </c>
      <c r="D448" s="5">
        <f>VLOOKUP(C448,'PESO GRUPO'!A$1:B$9,2,FALSE)</f>
        <v>30</v>
      </c>
      <c r="E448" s="6" t="s">
        <v>372</v>
      </c>
      <c r="F448" s="5">
        <f>VLOOKUP(E448,'PESOS SUBGRUPOS'!B$2:C$193,2,FALSE)</f>
        <v>80</v>
      </c>
      <c r="G448" s="6" t="s">
        <v>260</v>
      </c>
      <c r="H448" s="7" t="s">
        <v>15</v>
      </c>
      <c r="I448" s="5">
        <v>10</v>
      </c>
      <c r="M448" s="5" t="s">
        <v>500</v>
      </c>
    </row>
    <row r="449" spans="1:13" x14ac:dyDescent="0.25">
      <c r="A449" s="4">
        <v>580</v>
      </c>
      <c r="B449" s="5" t="s">
        <v>11</v>
      </c>
      <c r="C449" s="6" t="s">
        <v>238</v>
      </c>
      <c r="D449" s="5">
        <f>VLOOKUP(C449,'PESO GRUPO'!A$1:B$9,2,FALSE)</f>
        <v>30</v>
      </c>
      <c r="E449" s="6" t="s">
        <v>372</v>
      </c>
      <c r="F449" s="5">
        <f>VLOOKUP(E449,'PESOS SUBGRUPOS'!B$2:C$193,2,FALSE)</f>
        <v>80</v>
      </c>
      <c r="G449" s="6" t="s">
        <v>246</v>
      </c>
      <c r="H449" s="7" t="s">
        <v>15</v>
      </c>
      <c r="I449" s="5">
        <v>30</v>
      </c>
      <c r="M449" s="5" t="s">
        <v>500</v>
      </c>
    </row>
    <row r="450" spans="1:13" x14ac:dyDescent="0.25">
      <c r="A450" s="4">
        <v>581</v>
      </c>
      <c r="B450" s="5" t="s">
        <v>11</v>
      </c>
      <c r="C450" s="6" t="s">
        <v>238</v>
      </c>
      <c r="D450" s="5">
        <f>VLOOKUP(C450,'PESO GRUPO'!A$1:B$9,2,FALSE)</f>
        <v>30</v>
      </c>
      <c r="E450" s="6" t="s">
        <v>372</v>
      </c>
      <c r="F450" s="5">
        <f>VLOOKUP(E450,'PESOS SUBGRUPOS'!B$2:C$193,2,FALSE)</f>
        <v>80</v>
      </c>
      <c r="G450" s="6" t="s">
        <v>247</v>
      </c>
      <c r="H450" s="7" t="s">
        <v>15</v>
      </c>
      <c r="I450" s="5">
        <v>10</v>
      </c>
      <c r="M450" s="5" t="s">
        <v>500</v>
      </c>
    </row>
    <row r="451" spans="1:13" x14ac:dyDescent="0.25">
      <c r="A451" s="4">
        <v>582</v>
      </c>
      <c r="B451" s="5" t="s">
        <v>11</v>
      </c>
      <c r="C451" s="6" t="s">
        <v>238</v>
      </c>
      <c r="D451" s="5">
        <f>VLOOKUP(C451,'PESO GRUPO'!A$1:B$9,2,FALSE)</f>
        <v>30</v>
      </c>
      <c r="E451" s="6" t="s">
        <v>372</v>
      </c>
      <c r="F451" s="5">
        <f>VLOOKUP(E451,'PESOS SUBGRUPOS'!B$2:C$193,2,FALSE)</f>
        <v>80</v>
      </c>
      <c r="G451" s="6" t="s">
        <v>257</v>
      </c>
      <c r="H451" s="7" t="s">
        <v>15</v>
      </c>
      <c r="I451" s="5">
        <v>10</v>
      </c>
      <c r="M451" s="5" t="s">
        <v>500</v>
      </c>
    </row>
    <row r="452" spans="1:13" x14ac:dyDescent="0.25">
      <c r="A452" s="4">
        <v>583</v>
      </c>
      <c r="B452" s="5" t="s">
        <v>11</v>
      </c>
      <c r="C452" s="6" t="s">
        <v>238</v>
      </c>
      <c r="D452" s="5">
        <f>VLOOKUP(C452,'PESO GRUPO'!A$1:B$9,2,FALSE)</f>
        <v>30</v>
      </c>
      <c r="E452" s="6" t="s">
        <v>372</v>
      </c>
      <c r="F452" s="5">
        <f>VLOOKUP(E452,'PESOS SUBGRUPOS'!B$2:C$193,2,FALSE)</f>
        <v>80</v>
      </c>
      <c r="G452" s="6" t="s">
        <v>248</v>
      </c>
      <c r="H452" s="7" t="s">
        <v>15</v>
      </c>
      <c r="I452" s="5">
        <v>30</v>
      </c>
      <c r="M452" s="5" t="s">
        <v>500</v>
      </c>
    </row>
    <row r="453" spans="1:13" x14ac:dyDescent="0.25">
      <c r="A453" s="4">
        <v>584</v>
      </c>
      <c r="B453" s="5" t="s">
        <v>11</v>
      </c>
      <c r="C453" s="6" t="s">
        <v>238</v>
      </c>
      <c r="D453" s="5">
        <f>VLOOKUP(C453,'PESO GRUPO'!A$1:B$9,2,FALSE)</f>
        <v>30</v>
      </c>
      <c r="E453" s="6" t="s">
        <v>372</v>
      </c>
      <c r="F453" s="5">
        <f>VLOOKUP(E453,'PESOS SUBGRUPOS'!B$2:C$193,2,FALSE)</f>
        <v>80</v>
      </c>
      <c r="G453" s="6" t="s">
        <v>249</v>
      </c>
      <c r="H453" s="7" t="s">
        <v>15</v>
      </c>
      <c r="I453" s="5">
        <v>10</v>
      </c>
      <c r="M453" s="5" t="s">
        <v>500</v>
      </c>
    </row>
    <row r="454" spans="1:13" x14ac:dyDescent="0.25">
      <c r="A454" s="4">
        <v>585</v>
      </c>
      <c r="B454" s="5" t="s">
        <v>11</v>
      </c>
      <c r="C454" s="6" t="s">
        <v>238</v>
      </c>
      <c r="D454" s="5">
        <f>VLOOKUP(C454,'PESO GRUPO'!A$1:B$9,2,FALSE)</f>
        <v>30</v>
      </c>
      <c r="E454" s="6" t="s">
        <v>372</v>
      </c>
      <c r="F454" s="5">
        <f>VLOOKUP(E454,'PESOS SUBGRUPOS'!B$2:C$193,2,FALSE)</f>
        <v>80</v>
      </c>
      <c r="G454" s="6" t="s">
        <v>258</v>
      </c>
      <c r="H454" s="7" t="s">
        <v>15</v>
      </c>
      <c r="I454" s="5">
        <v>10</v>
      </c>
      <c r="M454" s="5" t="s">
        <v>500</v>
      </c>
    </row>
    <row r="455" spans="1:13" x14ac:dyDescent="0.25">
      <c r="A455" s="4">
        <v>586</v>
      </c>
      <c r="B455" s="5" t="s">
        <v>11</v>
      </c>
      <c r="C455" s="6" t="s">
        <v>238</v>
      </c>
      <c r="D455" s="5">
        <f>VLOOKUP(C455,'PESO GRUPO'!A$1:B$9,2,FALSE)</f>
        <v>30</v>
      </c>
      <c r="E455" s="6" t="s">
        <v>372</v>
      </c>
      <c r="F455" s="5">
        <f>VLOOKUP(E455,'PESOS SUBGRUPOS'!B$2:C$193,2,FALSE)</f>
        <v>80</v>
      </c>
      <c r="G455" s="6" t="s">
        <v>259</v>
      </c>
      <c r="H455" s="7" t="s">
        <v>15</v>
      </c>
      <c r="I455" s="5">
        <v>10</v>
      </c>
      <c r="M455" s="5" t="s">
        <v>500</v>
      </c>
    </row>
    <row r="456" spans="1:13" x14ac:dyDescent="0.25">
      <c r="A456" s="4">
        <v>587</v>
      </c>
      <c r="B456" s="5" t="s">
        <v>11</v>
      </c>
      <c r="C456" s="6" t="s">
        <v>238</v>
      </c>
      <c r="D456" s="5">
        <f>VLOOKUP(C456,'PESO GRUPO'!A$1:B$9,2,FALSE)</f>
        <v>30</v>
      </c>
      <c r="E456" s="6" t="s">
        <v>372</v>
      </c>
      <c r="F456" s="5">
        <f>VLOOKUP(E456,'PESOS SUBGRUPOS'!B$2:C$193,2,FALSE)</f>
        <v>80</v>
      </c>
      <c r="G456" s="6" t="s">
        <v>253</v>
      </c>
      <c r="H456" s="7" t="s">
        <v>15</v>
      </c>
      <c r="I456" s="5">
        <v>10</v>
      </c>
      <c r="M456" s="5" t="s">
        <v>500</v>
      </c>
    </row>
    <row r="457" spans="1:13" x14ac:dyDescent="0.25">
      <c r="A457" s="4">
        <v>588</v>
      </c>
      <c r="B457" s="5" t="s">
        <v>11</v>
      </c>
      <c r="C457" s="6" t="s">
        <v>238</v>
      </c>
      <c r="D457" s="5">
        <f>VLOOKUP(C457,'PESO GRUPO'!A$1:B$9,2,FALSE)</f>
        <v>30</v>
      </c>
      <c r="E457" s="6" t="s">
        <v>372</v>
      </c>
      <c r="F457" s="5">
        <f>VLOOKUP(E457,'PESOS SUBGRUPOS'!B$2:C$193,2,FALSE)</f>
        <v>80</v>
      </c>
      <c r="G457" s="6" t="s">
        <v>261</v>
      </c>
      <c r="H457" s="7" t="s">
        <v>15</v>
      </c>
      <c r="I457" s="5">
        <v>10</v>
      </c>
      <c r="M457" s="5" t="s">
        <v>500</v>
      </c>
    </row>
    <row r="458" spans="1:13" x14ac:dyDescent="0.25">
      <c r="A458" s="4">
        <v>589</v>
      </c>
      <c r="B458" s="5" t="s">
        <v>11</v>
      </c>
      <c r="C458" s="6" t="s">
        <v>238</v>
      </c>
      <c r="D458" s="5">
        <f>VLOOKUP(C458,'PESO GRUPO'!A$1:B$9,2,FALSE)</f>
        <v>30</v>
      </c>
      <c r="E458" s="6" t="s">
        <v>372</v>
      </c>
      <c r="F458" s="5">
        <f>VLOOKUP(E458,'PESOS SUBGRUPOS'!B$2:C$193,2,FALSE)</f>
        <v>80</v>
      </c>
      <c r="G458" s="6" t="s">
        <v>374</v>
      </c>
      <c r="H458" s="7" t="s">
        <v>15</v>
      </c>
      <c r="I458" s="5">
        <v>10</v>
      </c>
      <c r="M458" s="5" t="s">
        <v>500</v>
      </c>
    </row>
    <row r="459" spans="1:13" x14ac:dyDescent="0.25">
      <c r="A459" s="4">
        <v>590</v>
      </c>
      <c r="B459" s="5" t="s">
        <v>11</v>
      </c>
      <c r="C459" s="6" t="s">
        <v>238</v>
      </c>
      <c r="D459" s="5">
        <f>VLOOKUP(C459,'PESO GRUPO'!A$1:B$9,2,FALSE)</f>
        <v>30</v>
      </c>
      <c r="E459" s="6" t="s">
        <v>342</v>
      </c>
      <c r="F459" s="5">
        <f>VLOOKUP(E459,'PESOS SUBGRUPOS'!B$2:C$193,2,FALSE)</f>
        <v>100</v>
      </c>
      <c r="G459" s="6" t="s">
        <v>308</v>
      </c>
      <c r="H459" s="7" t="s">
        <v>15</v>
      </c>
      <c r="I459" s="5">
        <v>10</v>
      </c>
      <c r="M459" s="5" t="s">
        <v>500</v>
      </c>
    </row>
    <row r="460" spans="1:13" x14ac:dyDescent="0.25">
      <c r="A460" s="4">
        <v>591</v>
      </c>
      <c r="B460" s="5" t="s">
        <v>11</v>
      </c>
      <c r="C460" s="6" t="s">
        <v>238</v>
      </c>
      <c r="D460" s="5">
        <f>VLOOKUP(C460,'PESO GRUPO'!A$1:B$9,2,FALSE)</f>
        <v>30</v>
      </c>
      <c r="E460" s="6" t="s">
        <v>342</v>
      </c>
      <c r="F460" s="5">
        <f>VLOOKUP(E460,'PESOS SUBGRUPOS'!B$2:C$193,2,FALSE)</f>
        <v>100</v>
      </c>
      <c r="G460" s="6" t="s">
        <v>337</v>
      </c>
      <c r="H460" s="7" t="s">
        <v>15</v>
      </c>
      <c r="I460" s="5">
        <v>10</v>
      </c>
      <c r="M460" s="5" t="s">
        <v>500</v>
      </c>
    </row>
    <row r="461" spans="1:13" x14ac:dyDescent="0.25">
      <c r="A461" s="4">
        <v>592</v>
      </c>
      <c r="B461" s="5" t="s">
        <v>11</v>
      </c>
      <c r="C461" s="6" t="s">
        <v>238</v>
      </c>
      <c r="D461" s="5">
        <f>VLOOKUP(C461,'PESO GRUPO'!A$1:B$9,2,FALSE)</f>
        <v>30</v>
      </c>
      <c r="E461" s="6" t="s">
        <v>342</v>
      </c>
      <c r="F461" s="5">
        <f>VLOOKUP(E461,'PESOS SUBGRUPOS'!B$2:C$193,2,FALSE)</f>
        <v>100</v>
      </c>
      <c r="G461" s="6" t="s">
        <v>375</v>
      </c>
      <c r="H461" s="7" t="s">
        <v>15</v>
      </c>
      <c r="I461" s="5">
        <v>10</v>
      </c>
      <c r="M461" s="5" t="s">
        <v>500</v>
      </c>
    </row>
    <row r="462" spans="1:13" x14ac:dyDescent="0.25">
      <c r="A462" s="4">
        <v>593</v>
      </c>
      <c r="B462" s="5" t="s">
        <v>11</v>
      </c>
      <c r="C462" s="6" t="s">
        <v>238</v>
      </c>
      <c r="D462" s="5">
        <f>VLOOKUP(C462,'PESO GRUPO'!A$1:B$9,2,FALSE)</f>
        <v>30</v>
      </c>
      <c r="E462" s="6" t="s">
        <v>376</v>
      </c>
      <c r="F462" s="5">
        <f>VLOOKUP(E462,'PESOS SUBGRUPOS'!B$2:C$193,2,FALSE)</f>
        <v>40</v>
      </c>
      <c r="G462" s="6" t="s">
        <v>377</v>
      </c>
      <c r="H462" s="7" t="s">
        <v>15</v>
      </c>
      <c r="I462" s="5">
        <v>10</v>
      </c>
      <c r="M462" s="5" t="s">
        <v>500</v>
      </c>
    </row>
    <row r="463" spans="1:13" x14ac:dyDescent="0.25">
      <c r="A463" s="4">
        <v>594</v>
      </c>
      <c r="B463" s="5" t="s">
        <v>11</v>
      </c>
      <c r="C463" s="6" t="s">
        <v>238</v>
      </c>
      <c r="D463" s="5">
        <f>VLOOKUP(C463,'PESO GRUPO'!A$1:B$9,2,FALSE)</f>
        <v>30</v>
      </c>
      <c r="E463" s="6" t="s">
        <v>376</v>
      </c>
      <c r="F463" s="5">
        <f>VLOOKUP(E463,'PESOS SUBGRUPOS'!B$2:C$193,2,FALSE)</f>
        <v>40</v>
      </c>
      <c r="G463" s="6" t="s">
        <v>378</v>
      </c>
      <c r="H463" s="7" t="s">
        <v>15</v>
      </c>
      <c r="I463" s="5">
        <v>10</v>
      </c>
      <c r="M463" s="5" t="s">
        <v>500</v>
      </c>
    </row>
    <row r="464" spans="1:13" x14ac:dyDescent="0.25">
      <c r="A464" s="4">
        <v>595</v>
      </c>
      <c r="B464" s="5" t="s">
        <v>11</v>
      </c>
      <c r="C464" s="6" t="s">
        <v>238</v>
      </c>
      <c r="D464" s="5">
        <f>VLOOKUP(C464,'PESO GRUPO'!A$1:B$9,2,FALSE)</f>
        <v>30</v>
      </c>
      <c r="E464" s="6" t="s">
        <v>379</v>
      </c>
      <c r="F464" s="5">
        <f>VLOOKUP(E464,'PESOS SUBGRUPOS'!B$2:C$193,2,FALSE)</f>
        <v>40</v>
      </c>
      <c r="G464" s="6" t="s">
        <v>380</v>
      </c>
      <c r="H464" s="7" t="s">
        <v>15</v>
      </c>
      <c r="I464" s="5">
        <v>10</v>
      </c>
      <c r="M464" s="5" t="s">
        <v>500</v>
      </c>
    </row>
    <row r="465" spans="1:13" x14ac:dyDescent="0.25">
      <c r="A465" s="4">
        <v>596</v>
      </c>
      <c r="B465" s="5" t="s">
        <v>11</v>
      </c>
      <c r="C465" s="6" t="s">
        <v>238</v>
      </c>
      <c r="D465" s="5">
        <f>VLOOKUP(C465,'PESO GRUPO'!A$1:B$9,2,FALSE)</f>
        <v>30</v>
      </c>
      <c r="E465" s="6" t="s">
        <v>379</v>
      </c>
      <c r="F465" s="5">
        <f>VLOOKUP(E465,'PESOS SUBGRUPOS'!B$2:C$193,2,FALSE)</f>
        <v>40</v>
      </c>
      <c r="G465" s="6" t="s">
        <v>470</v>
      </c>
      <c r="H465" s="7" t="s">
        <v>15</v>
      </c>
      <c r="I465" s="5">
        <v>10</v>
      </c>
      <c r="M465" s="5" t="s">
        <v>500</v>
      </c>
    </row>
    <row r="466" spans="1:13" x14ac:dyDescent="0.25">
      <c r="A466" s="4">
        <v>597</v>
      </c>
      <c r="B466" s="5" t="s">
        <v>16</v>
      </c>
      <c r="C466" s="6" t="s">
        <v>381</v>
      </c>
      <c r="D466" s="5">
        <f>VLOOKUP(C466,'PESO GRUPO'!A$1:B$9,2,FALSE)</f>
        <v>20</v>
      </c>
      <c r="E466" s="6" t="s">
        <v>382</v>
      </c>
      <c r="F466" s="5">
        <f>VLOOKUP(E466,'PESOS SUBGRUPOS'!B$2:C$193,2,FALSE)</f>
        <v>10</v>
      </c>
      <c r="G466" s="6" t="s">
        <v>383</v>
      </c>
      <c r="H466" s="7" t="s">
        <v>15</v>
      </c>
      <c r="I466" s="5">
        <v>0</v>
      </c>
      <c r="M466" s="5" t="s">
        <v>500</v>
      </c>
    </row>
    <row r="467" spans="1:13" x14ac:dyDescent="0.25">
      <c r="A467" s="4">
        <v>598</v>
      </c>
      <c r="B467" s="5" t="s">
        <v>11</v>
      </c>
      <c r="C467" s="6" t="s">
        <v>381</v>
      </c>
      <c r="D467" s="5">
        <f>VLOOKUP(C467,'PESO GRUPO'!A$1:B$9,2,FALSE)</f>
        <v>20</v>
      </c>
      <c r="E467" s="6" t="s">
        <v>382</v>
      </c>
      <c r="F467" s="5">
        <f>VLOOKUP(E467,'PESOS SUBGRUPOS'!B$2:C$193,2,FALSE)</f>
        <v>10</v>
      </c>
      <c r="G467" s="6" t="s">
        <v>384</v>
      </c>
      <c r="H467" s="7" t="s">
        <v>15</v>
      </c>
      <c r="I467" s="5">
        <v>10</v>
      </c>
      <c r="M467" s="5" t="s">
        <v>500</v>
      </c>
    </row>
    <row r="468" spans="1:13" x14ac:dyDescent="0.25">
      <c r="A468" s="4">
        <v>599</v>
      </c>
      <c r="B468" s="5" t="s">
        <v>11</v>
      </c>
      <c r="C468" s="6" t="s">
        <v>381</v>
      </c>
      <c r="D468" s="5">
        <f>VLOOKUP(C468,'PESO GRUPO'!A$1:B$9,2,FALSE)</f>
        <v>20</v>
      </c>
      <c r="E468" s="6" t="s">
        <v>382</v>
      </c>
      <c r="F468" s="5">
        <f>VLOOKUP(E468,'PESOS SUBGRUPOS'!B$2:C$193,2,FALSE)</f>
        <v>10</v>
      </c>
      <c r="G468" s="6" t="s">
        <v>385</v>
      </c>
      <c r="H468" s="7" t="s">
        <v>15</v>
      </c>
      <c r="I468" s="5">
        <v>20</v>
      </c>
      <c r="M468" s="5" t="s">
        <v>500</v>
      </c>
    </row>
    <row r="469" spans="1:13" x14ac:dyDescent="0.25">
      <c r="A469" s="4">
        <v>600</v>
      </c>
      <c r="B469" s="5" t="s">
        <v>11</v>
      </c>
      <c r="C469" s="6" t="s">
        <v>381</v>
      </c>
      <c r="D469" s="5">
        <f>VLOOKUP(C469,'PESO GRUPO'!A$1:B$9,2,FALSE)</f>
        <v>20</v>
      </c>
      <c r="E469" s="6" t="s">
        <v>382</v>
      </c>
      <c r="F469" s="5">
        <f>VLOOKUP(E469,'PESOS SUBGRUPOS'!B$2:C$193,2,FALSE)</f>
        <v>10</v>
      </c>
      <c r="G469" s="6" t="s">
        <v>386</v>
      </c>
      <c r="H469" s="7" t="s">
        <v>15</v>
      </c>
      <c r="I469" s="5">
        <v>30</v>
      </c>
      <c r="M469" s="5" t="s">
        <v>500</v>
      </c>
    </row>
    <row r="470" spans="1:13" x14ac:dyDescent="0.25">
      <c r="A470" s="4">
        <v>601</v>
      </c>
      <c r="B470" s="5" t="s">
        <v>11</v>
      </c>
      <c r="C470" s="6" t="s">
        <v>381</v>
      </c>
      <c r="D470" s="5">
        <f>VLOOKUP(C470,'PESO GRUPO'!A$1:B$9,2,FALSE)</f>
        <v>20</v>
      </c>
      <c r="E470" s="6" t="s">
        <v>382</v>
      </c>
      <c r="F470" s="5">
        <f>VLOOKUP(E470,'PESOS SUBGRUPOS'!B$2:C$193,2,FALSE)</f>
        <v>10</v>
      </c>
      <c r="G470" s="6" t="s">
        <v>387</v>
      </c>
      <c r="H470" s="7" t="s">
        <v>15</v>
      </c>
      <c r="I470" s="5">
        <v>30</v>
      </c>
      <c r="M470" s="5" t="s">
        <v>500</v>
      </c>
    </row>
    <row r="471" spans="1:13" x14ac:dyDescent="0.25">
      <c r="A471" s="4">
        <v>602</v>
      </c>
      <c r="B471" s="5" t="s">
        <v>11</v>
      </c>
      <c r="C471" s="6" t="s">
        <v>381</v>
      </c>
      <c r="D471" s="5">
        <f>VLOOKUP(C471,'PESO GRUPO'!A$1:B$9,2,FALSE)</f>
        <v>20</v>
      </c>
      <c r="E471" s="6" t="s">
        <v>382</v>
      </c>
      <c r="F471" s="5">
        <f>VLOOKUP(E471,'PESOS SUBGRUPOS'!B$2:C$193,2,FALSE)</f>
        <v>10</v>
      </c>
      <c r="G471" s="6" t="s">
        <v>370</v>
      </c>
      <c r="H471" s="7" t="s">
        <v>15</v>
      </c>
      <c r="I471" s="5">
        <v>20</v>
      </c>
      <c r="M471" s="5" t="s">
        <v>500</v>
      </c>
    </row>
    <row r="472" spans="1:13" x14ac:dyDescent="0.25">
      <c r="A472" s="4">
        <v>603</v>
      </c>
      <c r="B472" s="5" t="s">
        <v>11</v>
      </c>
      <c r="C472" s="6" t="s">
        <v>381</v>
      </c>
      <c r="D472" s="5">
        <f>VLOOKUP(C472,'PESO GRUPO'!A$1:B$9,2,FALSE)</f>
        <v>20</v>
      </c>
      <c r="E472" s="6" t="s">
        <v>382</v>
      </c>
      <c r="F472" s="5">
        <f>VLOOKUP(E472,'PESOS SUBGRUPOS'!B$2:C$193,2,FALSE)</f>
        <v>10</v>
      </c>
      <c r="G472" s="6" t="s">
        <v>388</v>
      </c>
      <c r="H472" s="7" t="s">
        <v>15</v>
      </c>
      <c r="I472" s="5">
        <v>10</v>
      </c>
      <c r="M472" s="5" t="s">
        <v>500</v>
      </c>
    </row>
    <row r="473" spans="1:13" x14ac:dyDescent="0.25">
      <c r="A473" s="4">
        <v>604</v>
      </c>
      <c r="B473" s="5" t="s">
        <v>11</v>
      </c>
      <c r="C473" s="6" t="s">
        <v>381</v>
      </c>
      <c r="D473" s="5">
        <f>VLOOKUP(C473,'PESO GRUPO'!A$1:B$9,2,FALSE)</f>
        <v>20</v>
      </c>
      <c r="E473" s="6" t="s">
        <v>382</v>
      </c>
      <c r="F473" s="5">
        <f>VLOOKUP(E473,'PESOS SUBGRUPOS'!B$2:C$193,2,FALSE)</f>
        <v>10</v>
      </c>
      <c r="G473" s="6" t="s">
        <v>389</v>
      </c>
      <c r="H473" s="7" t="s">
        <v>15</v>
      </c>
      <c r="I473" s="5">
        <v>10</v>
      </c>
      <c r="M473" s="5" t="s">
        <v>500</v>
      </c>
    </row>
    <row r="474" spans="1:13" x14ac:dyDescent="0.25">
      <c r="A474" s="4">
        <v>605</v>
      </c>
      <c r="B474" s="5" t="s">
        <v>11</v>
      </c>
      <c r="C474" s="6" t="s">
        <v>381</v>
      </c>
      <c r="D474" s="5">
        <f>VLOOKUP(C474,'PESO GRUPO'!A$1:B$9,2,FALSE)</f>
        <v>20</v>
      </c>
      <c r="E474" s="6" t="s">
        <v>382</v>
      </c>
      <c r="F474" s="5">
        <f>VLOOKUP(E474,'PESOS SUBGRUPOS'!B$2:C$193,2,FALSE)</f>
        <v>10</v>
      </c>
      <c r="G474" s="6" t="s">
        <v>390</v>
      </c>
      <c r="H474" s="7" t="s">
        <v>15</v>
      </c>
      <c r="I474" s="5">
        <v>10</v>
      </c>
      <c r="M474" s="5" t="s">
        <v>500</v>
      </c>
    </row>
    <row r="475" spans="1:13" x14ac:dyDescent="0.25">
      <c r="A475" s="4">
        <v>606</v>
      </c>
      <c r="B475" s="5" t="s">
        <v>11</v>
      </c>
      <c r="C475" s="6" t="s">
        <v>381</v>
      </c>
      <c r="D475" s="5">
        <f>VLOOKUP(C475,'PESO GRUPO'!A$1:B$9,2,FALSE)</f>
        <v>20</v>
      </c>
      <c r="E475" s="6" t="s">
        <v>382</v>
      </c>
      <c r="F475" s="5">
        <f>VLOOKUP(E475,'PESOS SUBGRUPOS'!B$2:C$193,2,FALSE)</f>
        <v>10</v>
      </c>
      <c r="G475" s="6" t="s">
        <v>471</v>
      </c>
      <c r="H475" s="7" t="s">
        <v>15</v>
      </c>
      <c r="I475" s="5">
        <v>10</v>
      </c>
      <c r="M475" s="5" t="s">
        <v>500</v>
      </c>
    </row>
    <row r="476" spans="1:13" x14ac:dyDescent="0.25">
      <c r="A476" s="4">
        <v>607</v>
      </c>
      <c r="B476" s="5" t="s">
        <v>11</v>
      </c>
      <c r="C476" s="6" t="s">
        <v>381</v>
      </c>
      <c r="D476" s="5">
        <f>VLOOKUP(C476,'PESO GRUPO'!A$1:B$9,2,FALSE)</f>
        <v>20</v>
      </c>
      <c r="E476" s="6" t="s">
        <v>382</v>
      </c>
      <c r="F476" s="5">
        <f>VLOOKUP(E476,'PESOS SUBGRUPOS'!B$2:C$193,2,FALSE)</f>
        <v>10</v>
      </c>
      <c r="G476" s="6" t="s">
        <v>391</v>
      </c>
      <c r="H476" s="7" t="s">
        <v>15</v>
      </c>
      <c r="I476" s="5">
        <v>10</v>
      </c>
      <c r="M476" s="5" t="s">
        <v>500</v>
      </c>
    </row>
    <row r="477" spans="1:13" x14ac:dyDescent="0.25">
      <c r="A477" s="4">
        <v>608</v>
      </c>
      <c r="B477" s="5" t="s">
        <v>11</v>
      </c>
      <c r="C477" s="6" t="s">
        <v>381</v>
      </c>
      <c r="D477" s="5">
        <f>VLOOKUP(C477,'PESO GRUPO'!A$1:B$9,2,FALSE)</f>
        <v>20</v>
      </c>
      <c r="E477" s="6" t="s">
        <v>382</v>
      </c>
      <c r="F477" s="5">
        <f>VLOOKUP(E477,'PESOS SUBGRUPOS'!B$2:C$193,2,FALSE)</f>
        <v>10</v>
      </c>
      <c r="G477" s="6" t="s">
        <v>392</v>
      </c>
      <c r="H477" s="7" t="s">
        <v>15</v>
      </c>
      <c r="I477" s="5">
        <v>10</v>
      </c>
      <c r="M477" s="5" t="s">
        <v>500</v>
      </c>
    </row>
    <row r="478" spans="1:13" x14ac:dyDescent="0.25">
      <c r="A478" s="4">
        <v>609</v>
      </c>
      <c r="B478" s="5" t="s">
        <v>11</v>
      </c>
      <c r="C478" s="6" t="s">
        <v>381</v>
      </c>
      <c r="D478" s="5">
        <f>VLOOKUP(C478,'PESO GRUPO'!A$1:B$9,2,FALSE)</f>
        <v>20</v>
      </c>
      <c r="E478" s="6" t="s">
        <v>382</v>
      </c>
      <c r="F478" s="5">
        <f>VLOOKUP(E478,'PESOS SUBGRUPOS'!B$2:C$193,2,FALSE)</f>
        <v>10</v>
      </c>
      <c r="G478" s="6" t="s">
        <v>337</v>
      </c>
      <c r="H478" s="7" t="s">
        <v>15</v>
      </c>
      <c r="I478" s="5">
        <v>30</v>
      </c>
      <c r="M478" s="5" t="s">
        <v>500</v>
      </c>
    </row>
    <row r="479" spans="1:13" x14ac:dyDescent="0.25">
      <c r="A479" s="4">
        <v>610</v>
      </c>
      <c r="B479" s="5" t="s">
        <v>11</v>
      </c>
      <c r="C479" s="6" t="s">
        <v>381</v>
      </c>
      <c r="D479" s="5">
        <f>VLOOKUP(C479,'PESO GRUPO'!A$1:B$9,2,FALSE)</f>
        <v>20</v>
      </c>
      <c r="E479" s="6" t="s">
        <v>382</v>
      </c>
      <c r="F479" s="5">
        <f>VLOOKUP(E479,'PESOS SUBGRUPOS'!B$2:C$193,2,FALSE)</f>
        <v>10</v>
      </c>
      <c r="G479" s="6" t="s">
        <v>393</v>
      </c>
      <c r="H479" s="7" t="s">
        <v>15</v>
      </c>
      <c r="I479" s="5">
        <v>10</v>
      </c>
      <c r="M479" s="5" t="s">
        <v>500</v>
      </c>
    </row>
    <row r="480" spans="1:13" x14ac:dyDescent="0.25">
      <c r="A480" s="4">
        <v>611</v>
      </c>
      <c r="B480" s="5" t="s">
        <v>11</v>
      </c>
      <c r="C480" s="6" t="s">
        <v>381</v>
      </c>
      <c r="D480" s="5">
        <f>VLOOKUP(C480,'PESO GRUPO'!A$1:B$9,2,FALSE)</f>
        <v>20</v>
      </c>
      <c r="E480" s="6" t="s">
        <v>382</v>
      </c>
      <c r="F480" s="5">
        <f>VLOOKUP(E480,'PESOS SUBGRUPOS'!B$2:C$193,2,FALSE)</f>
        <v>10</v>
      </c>
      <c r="G480" s="6" t="s">
        <v>394</v>
      </c>
      <c r="H480" s="7" t="s">
        <v>15</v>
      </c>
      <c r="I480" s="5">
        <v>30</v>
      </c>
      <c r="M480" s="5" t="s">
        <v>500</v>
      </c>
    </row>
    <row r="481" spans="1:13" x14ac:dyDescent="0.25">
      <c r="A481" s="4">
        <v>612</v>
      </c>
      <c r="B481" s="5" t="s">
        <v>11</v>
      </c>
      <c r="C481" s="6" t="s">
        <v>381</v>
      </c>
      <c r="D481" s="5">
        <f>VLOOKUP(C481,'PESO GRUPO'!A$1:B$9,2,FALSE)</f>
        <v>20</v>
      </c>
      <c r="E481" s="6" t="s">
        <v>382</v>
      </c>
      <c r="F481" s="5">
        <f>VLOOKUP(E481,'PESOS SUBGRUPOS'!B$2:C$193,2,FALSE)</f>
        <v>10</v>
      </c>
      <c r="G481" s="6" t="s">
        <v>395</v>
      </c>
      <c r="H481" s="7" t="s">
        <v>15</v>
      </c>
      <c r="I481" s="5">
        <v>10</v>
      </c>
      <c r="M481" s="5" t="s">
        <v>500</v>
      </c>
    </row>
    <row r="482" spans="1:13" x14ac:dyDescent="0.25">
      <c r="A482" s="4">
        <v>613</v>
      </c>
      <c r="B482" s="5" t="s">
        <v>11</v>
      </c>
      <c r="C482" s="6" t="s">
        <v>381</v>
      </c>
      <c r="D482" s="5">
        <f>VLOOKUP(C482,'PESO GRUPO'!A$1:B$9,2,FALSE)</f>
        <v>20</v>
      </c>
      <c r="E482" s="6" t="s">
        <v>382</v>
      </c>
      <c r="F482" s="5">
        <f>VLOOKUP(E482,'PESOS SUBGRUPOS'!B$2:C$193,2,FALSE)</f>
        <v>10</v>
      </c>
      <c r="G482" s="6" t="s">
        <v>396</v>
      </c>
      <c r="H482" s="7" t="s">
        <v>15</v>
      </c>
      <c r="I482" s="5">
        <v>20</v>
      </c>
      <c r="M482" s="5" t="s">
        <v>500</v>
      </c>
    </row>
    <row r="483" spans="1:13" x14ac:dyDescent="0.25">
      <c r="A483" s="4">
        <v>614</v>
      </c>
      <c r="B483" s="5" t="s">
        <v>11</v>
      </c>
      <c r="C483" s="6" t="s">
        <v>381</v>
      </c>
      <c r="D483" s="5">
        <f>VLOOKUP(C483,'PESO GRUPO'!A$1:B$9,2,FALSE)</f>
        <v>20</v>
      </c>
      <c r="E483" s="6" t="s">
        <v>382</v>
      </c>
      <c r="F483" s="5">
        <f>VLOOKUP(E483,'PESOS SUBGRUPOS'!B$2:C$193,2,FALSE)</f>
        <v>10</v>
      </c>
      <c r="G483" s="6" t="s">
        <v>397</v>
      </c>
      <c r="H483" s="7" t="s">
        <v>15</v>
      </c>
      <c r="I483" s="5">
        <v>20</v>
      </c>
      <c r="M483" s="5" t="s">
        <v>500</v>
      </c>
    </row>
    <row r="484" spans="1:13" x14ac:dyDescent="0.25">
      <c r="A484" s="4">
        <v>615</v>
      </c>
      <c r="B484" s="5" t="s">
        <v>11</v>
      </c>
      <c r="C484" s="6" t="s">
        <v>381</v>
      </c>
      <c r="D484" s="5">
        <f>VLOOKUP(C484,'PESO GRUPO'!A$1:B$9,2,FALSE)</f>
        <v>20</v>
      </c>
      <c r="E484" s="6" t="s">
        <v>382</v>
      </c>
      <c r="F484" s="5">
        <f>VLOOKUP(E484,'PESOS SUBGRUPOS'!B$2:C$193,2,FALSE)</f>
        <v>10</v>
      </c>
      <c r="G484" s="6" t="s">
        <v>398</v>
      </c>
      <c r="H484" s="7" t="s">
        <v>15</v>
      </c>
      <c r="I484" s="5">
        <v>10</v>
      </c>
      <c r="M484" s="5" t="s">
        <v>500</v>
      </c>
    </row>
    <row r="485" spans="1:13" x14ac:dyDescent="0.25">
      <c r="A485" s="4">
        <v>616</v>
      </c>
      <c r="B485" s="5" t="s">
        <v>11</v>
      </c>
      <c r="C485" s="6" t="s">
        <v>381</v>
      </c>
      <c r="D485" s="5">
        <f>VLOOKUP(C485,'PESO GRUPO'!A$1:B$9,2,FALSE)</f>
        <v>20</v>
      </c>
      <c r="E485" s="6" t="s">
        <v>382</v>
      </c>
      <c r="F485" s="5">
        <f>VLOOKUP(E485,'PESOS SUBGRUPOS'!B$2:C$193,2,FALSE)</f>
        <v>10</v>
      </c>
      <c r="G485" s="6" t="s">
        <v>399</v>
      </c>
      <c r="H485" s="7" t="s">
        <v>15</v>
      </c>
      <c r="I485" s="5">
        <v>10</v>
      </c>
      <c r="M485" s="5" t="s">
        <v>500</v>
      </c>
    </row>
    <row r="486" spans="1:13" x14ac:dyDescent="0.25">
      <c r="A486" s="4">
        <v>617</v>
      </c>
      <c r="B486" s="5" t="s">
        <v>11</v>
      </c>
      <c r="C486" s="6" t="s">
        <v>381</v>
      </c>
      <c r="D486" s="5">
        <f>VLOOKUP(C486,'PESO GRUPO'!A$1:B$9,2,FALSE)</f>
        <v>20</v>
      </c>
      <c r="E486" s="6" t="s">
        <v>382</v>
      </c>
      <c r="F486" s="5">
        <f>VLOOKUP(E486,'PESOS SUBGRUPOS'!B$2:C$193,2,FALSE)</f>
        <v>10</v>
      </c>
      <c r="G486" s="6" t="s">
        <v>400</v>
      </c>
      <c r="H486" s="7" t="s">
        <v>15</v>
      </c>
      <c r="I486" s="5">
        <v>10</v>
      </c>
      <c r="M486" s="5" t="s">
        <v>500</v>
      </c>
    </row>
    <row r="487" spans="1:13" x14ac:dyDescent="0.25">
      <c r="A487" s="4">
        <v>618</v>
      </c>
      <c r="B487" s="5" t="s">
        <v>11</v>
      </c>
      <c r="C487" s="6" t="s">
        <v>381</v>
      </c>
      <c r="D487" s="5">
        <f>VLOOKUP(C487,'PESO GRUPO'!A$1:B$9,2,FALSE)</f>
        <v>20</v>
      </c>
      <c r="E487" s="6" t="s">
        <v>382</v>
      </c>
      <c r="F487" s="5">
        <f>VLOOKUP(E487,'PESOS SUBGRUPOS'!B$2:C$193,2,FALSE)</f>
        <v>10</v>
      </c>
      <c r="G487" s="6" t="s">
        <v>401</v>
      </c>
      <c r="H487" s="7" t="s">
        <v>15</v>
      </c>
      <c r="I487" s="5">
        <v>10</v>
      </c>
      <c r="M487" s="5" t="s">
        <v>500</v>
      </c>
    </row>
    <row r="488" spans="1:13" x14ac:dyDescent="0.25">
      <c r="A488" s="4">
        <v>619</v>
      </c>
      <c r="B488" s="5" t="s">
        <v>16</v>
      </c>
      <c r="C488" s="6" t="s">
        <v>381</v>
      </c>
      <c r="D488" s="5">
        <f>VLOOKUP(C488,'PESO GRUPO'!A$1:B$9,2,FALSE)</f>
        <v>20</v>
      </c>
      <c r="E488" s="6" t="s">
        <v>402</v>
      </c>
      <c r="F488" s="5">
        <f>VLOOKUP(E488,'PESOS SUBGRUPOS'!B$2:C$193,2,FALSE)</f>
        <v>10</v>
      </c>
      <c r="G488" s="6" t="s">
        <v>383</v>
      </c>
      <c r="H488" s="7" t="s">
        <v>15</v>
      </c>
      <c r="I488" s="5">
        <v>0</v>
      </c>
      <c r="M488" s="5" t="s">
        <v>500</v>
      </c>
    </row>
    <row r="489" spans="1:13" x14ac:dyDescent="0.25">
      <c r="A489" s="4">
        <v>620</v>
      </c>
      <c r="B489" s="5" t="s">
        <v>11</v>
      </c>
      <c r="C489" s="6" t="s">
        <v>381</v>
      </c>
      <c r="D489" s="5">
        <f>VLOOKUP(C489,'PESO GRUPO'!A$1:B$9,2,FALSE)</f>
        <v>20</v>
      </c>
      <c r="E489" s="6" t="s">
        <v>402</v>
      </c>
      <c r="F489" s="5">
        <f>VLOOKUP(E489,'PESOS SUBGRUPOS'!B$2:C$193,2,FALSE)</f>
        <v>10</v>
      </c>
      <c r="G489" s="6" t="s">
        <v>384</v>
      </c>
      <c r="H489" s="7" t="s">
        <v>15</v>
      </c>
      <c r="I489" s="5">
        <v>10</v>
      </c>
      <c r="M489" s="5" t="s">
        <v>500</v>
      </c>
    </row>
    <row r="490" spans="1:13" x14ac:dyDescent="0.25">
      <c r="A490" s="4">
        <v>621</v>
      </c>
      <c r="B490" s="5" t="s">
        <v>11</v>
      </c>
      <c r="C490" s="6" t="s">
        <v>381</v>
      </c>
      <c r="D490" s="5">
        <f>VLOOKUP(C490,'PESO GRUPO'!A$1:B$9,2,FALSE)</f>
        <v>20</v>
      </c>
      <c r="E490" s="6" t="s">
        <v>402</v>
      </c>
      <c r="F490" s="5">
        <f>VLOOKUP(E490,'PESOS SUBGRUPOS'!B$2:C$193,2,FALSE)</f>
        <v>10</v>
      </c>
      <c r="G490" s="6" t="s">
        <v>385</v>
      </c>
      <c r="H490" s="7" t="s">
        <v>15</v>
      </c>
      <c r="I490" s="5">
        <v>20</v>
      </c>
      <c r="M490" s="5" t="s">
        <v>500</v>
      </c>
    </row>
    <row r="491" spans="1:13" x14ac:dyDescent="0.25">
      <c r="A491" s="4">
        <v>622</v>
      </c>
      <c r="B491" s="5" t="s">
        <v>11</v>
      </c>
      <c r="C491" s="6" t="s">
        <v>381</v>
      </c>
      <c r="D491" s="5">
        <f>VLOOKUP(C491,'PESO GRUPO'!A$1:B$9,2,FALSE)</f>
        <v>20</v>
      </c>
      <c r="E491" s="6" t="s">
        <v>402</v>
      </c>
      <c r="F491" s="5">
        <f>VLOOKUP(E491,'PESOS SUBGRUPOS'!B$2:C$193,2,FALSE)</f>
        <v>10</v>
      </c>
      <c r="G491" s="6" t="s">
        <v>386</v>
      </c>
      <c r="H491" s="7" t="s">
        <v>15</v>
      </c>
      <c r="I491" s="5">
        <v>30</v>
      </c>
      <c r="M491" s="5" t="s">
        <v>500</v>
      </c>
    </row>
    <row r="492" spans="1:13" x14ac:dyDescent="0.25">
      <c r="A492" s="4">
        <v>623</v>
      </c>
      <c r="B492" s="5" t="s">
        <v>11</v>
      </c>
      <c r="C492" s="6" t="s">
        <v>381</v>
      </c>
      <c r="D492" s="5">
        <f>VLOOKUP(C492,'PESO GRUPO'!A$1:B$9,2,FALSE)</f>
        <v>20</v>
      </c>
      <c r="E492" s="6" t="s">
        <v>402</v>
      </c>
      <c r="F492" s="5">
        <f>VLOOKUP(E492,'PESOS SUBGRUPOS'!B$2:C$193,2,FALSE)</f>
        <v>10</v>
      </c>
      <c r="G492" s="6" t="s">
        <v>387</v>
      </c>
      <c r="H492" s="7" t="s">
        <v>15</v>
      </c>
      <c r="I492" s="5">
        <v>30</v>
      </c>
      <c r="M492" s="5" t="s">
        <v>500</v>
      </c>
    </row>
    <row r="493" spans="1:13" x14ac:dyDescent="0.25">
      <c r="A493" s="4">
        <v>624</v>
      </c>
      <c r="B493" s="5" t="s">
        <v>11</v>
      </c>
      <c r="C493" s="6" t="s">
        <v>381</v>
      </c>
      <c r="D493" s="5">
        <f>VLOOKUP(C493,'PESO GRUPO'!A$1:B$9,2,FALSE)</f>
        <v>20</v>
      </c>
      <c r="E493" s="6" t="s">
        <v>402</v>
      </c>
      <c r="F493" s="5">
        <f>VLOOKUP(E493,'PESOS SUBGRUPOS'!B$2:C$193,2,FALSE)</f>
        <v>10</v>
      </c>
      <c r="G493" s="6" t="s">
        <v>370</v>
      </c>
      <c r="H493" s="7" t="s">
        <v>15</v>
      </c>
      <c r="I493" s="5">
        <v>20</v>
      </c>
      <c r="M493" s="5" t="s">
        <v>500</v>
      </c>
    </row>
    <row r="494" spans="1:13" x14ac:dyDescent="0.25">
      <c r="A494" s="4">
        <v>625</v>
      </c>
      <c r="B494" s="5" t="s">
        <v>11</v>
      </c>
      <c r="C494" s="6" t="s">
        <v>381</v>
      </c>
      <c r="D494" s="5">
        <f>VLOOKUP(C494,'PESO GRUPO'!A$1:B$9,2,FALSE)</f>
        <v>20</v>
      </c>
      <c r="E494" s="6" t="s">
        <v>402</v>
      </c>
      <c r="F494" s="5">
        <f>VLOOKUP(E494,'PESOS SUBGRUPOS'!B$2:C$193,2,FALSE)</f>
        <v>10</v>
      </c>
      <c r="G494" s="6" t="s">
        <v>388</v>
      </c>
      <c r="H494" s="7" t="s">
        <v>15</v>
      </c>
      <c r="I494" s="5">
        <v>10</v>
      </c>
      <c r="M494" s="5" t="s">
        <v>500</v>
      </c>
    </row>
    <row r="495" spans="1:13" x14ac:dyDescent="0.25">
      <c r="A495" s="4">
        <v>626</v>
      </c>
      <c r="B495" s="5" t="s">
        <v>11</v>
      </c>
      <c r="C495" s="6" t="s">
        <v>381</v>
      </c>
      <c r="D495" s="5">
        <f>VLOOKUP(C495,'PESO GRUPO'!A$1:B$9,2,FALSE)</f>
        <v>20</v>
      </c>
      <c r="E495" s="6" t="s">
        <v>402</v>
      </c>
      <c r="F495" s="5">
        <f>VLOOKUP(E495,'PESOS SUBGRUPOS'!B$2:C$193,2,FALSE)</f>
        <v>10</v>
      </c>
      <c r="G495" s="6" t="s">
        <v>389</v>
      </c>
      <c r="H495" s="7" t="s">
        <v>15</v>
      </c>
      <c r="I495" s="5">
        <v>10</v>
      </c>
      <c r="M495" s="5" t="s">
        <v>500</v>
      </c>
    </row>
    <row r="496" spans="1:13" x14ac:dyDescent="0.25">
      <c r="A496" s="4">
        <v>627</v>
      </c>
      <c r="B496" s="5" t="s">
        <v>11</v>
      </c>
      <c r="C496" s="6" t="s">
        <v>381</v>
      </c>
      <c r="D496" s="5">
        <f>VLOOKUP(C496,'PESO GRUPO'!A$1:B$9,2,FALSE)</f>
        <v>20</v>
      </c>
      <c r="E496" s="6" t="s">
        <v>402</v>
      </c>
      <c r="F496" s="5">
        <f>VLOOKUP(E496,'PESOS SUBGRUPOS'!B$2:C$193,2,FALSE)</f>
        <v>10</v>
      </c>
      <c r="G496" s="6" t="s">
        <v>390</v>
      </c>
      <c r="H496" s="7" t="s">
        <v>15</v>
      </c>
      <c r="I496" s="5">
        <v>10</v>
      </c>
      <c r="M496" s="5" t="s">
        <v>500</v>
      </c>
    </row>
    <row r="497" spans="1:13" x14ac:dyDescent="0.25">
      <c r="A497" s="4">
        <v>628</v>
      </c>
      <c r="B497" s="5" t="s">
        <v>11</v>
      </c>
      <c r="C497" s="6" t="s">
        <v>381</v>
      </c>
      <c r="D497" s="5">
        <f>VLOOKUP(C497,'PESO GRUPO'!A$1:B$9,2,FALSE)</f>
        <v>20</v>
      </c>
      <c r="E497" s="6" t="s">
        <v>402</v>
      </c>
      <c r="F497" s="5">
        <f>VLOOKUP(E497,'PESOS SUBGRUPOS'!B$2:C$193,2,FALSE)</f>
        <v>10</v>
      </c>
      <c r="G497" s="6" t="s">
        <v>471</v>
      </c>
      <c r="H497" s="7" t="s">
        <v>15</v>
      </c>
      <c r="I497" s="5">
        <v>10</v>
      </c>
      <c r="M497" s="5" t="s">
        <v>500</v>
      </c>
    </row>
    <row r="498" spans="1:13" x14ac:dyDescent="0.25">
      <c r="A498" s="4">
        <v>629</v>
      </c>
      <c r="B498" s="5" t="s">
        <v>11</v>
      </c>
      <c r="C498" s="6" t="s">
        <v>381</v>
      </c>
      <c r="D498" s="5">
        <f>VLOOKUP(C498,'PESO GRUPO'!A$1:B$9,2,FALSE)</f>
        <v>20</v>
      </c>
      <c r="E498" s="6" t="s">
        <v>402</v>
      </c>
      <c r="F498" s="5">
        <f>VLOOKUP(E498,'PESOS SUBGRUPOS'!B$2:C$193,2,FALSE)</f>
        <v>10</v>
      </c>
      <c r="G498" s="6" t="s">
        <v>391</v>
      </c>
      <c r="H498" s="7" t="s">
        <v>15</v>
      </c>
      <c r="I498" s="5">
        <v>10</v>
      </c>
      <c r="M498" s="5" t="s">
        <v>500</v>
      </c>
    </row>
    <row r="499" spans="1:13" x14ac:dyDescent="0.25">
      <c r="A499" s="4">
        <v>630</v>
      </c>
      <c r="B499" s="5" t="s">
        <v>11</v>
      </c>
      <c r="C499" s="6" t="s">
        <v>381</v>
      </c>
      <c r="D499" s="5">
        <f>VLOOKUP(C499,'PESO GRUPO'!A$1:B$9,2,FALSE)</f>
        <v>20</v>
      </c>
      <c r="E499" s="6" t="s">
        <v>402</v>
      </c>
      <c r="F499" s="5">
        <f>VLOOKUP(E499,'PESOS SUBGRUPOS'!B$2:C$193,2,FALSE)</f>
        <v>10</v>
      </c>
      <c r="G499" s="6" t="s">
        <v>392</v>
      </c>
      <c r="H499" s="7" t="s">
        <v>15</v>
      </c>
      <c r="I499" s="5">
        <v>10</v>
      </c>
      <c r="M499" s="5" t="s">
        <v>500</v>
      </c>
    </row>
    <row r="500" spans="1:13" x14ac:dyDescent="0.25">
      <c r="A500" s="4">
        <v>631</v>
      </c>
      <c r="B500" s="5" t="s">
        <v>11</v>
      </c>
      <c r="C500" s="6" t="s">
        <v>381</v>
      </c>
      <c r="D500" s="5">
        <f>VLOOKUP(C500,'PESO GRUPO'!A$1:B$9,2,FALSE)</f>
        <v>20</v>
      </c>
      <c r="E500" s="6" t="s">
        <v>402</v>
      </c>
      <c r="F500" s="5">
        <f>VLOOKUP(E500,'PESOS SUBGRUPOS'!B$2:C$193,2,FALSE)</f>
        <v>10</v>
      </c>
      <c r="G500" s="6" t="s">
        <v>337</v>
      </c>
      <c r="H500" s="7" t="s">
        <v>15</v>
      </c>
      <c r="I500" s="5">
        <v>30</v>
      </c>
      <c r="M500" s="5" t="s">
        <v>500</v>
      </c>
    </row>
    <row r="501" spans="1:13" x14ac:dyDescent="0.25">
      <c r="A501" s="4">
        <v>632</v>
      </c>
      <c r="B501" s="5" t="s">
        <v>11</v>
      </c>
      <c r="C501" s="6" t="s">
        <v>381</v>
      </c>
      <c r="D501" s="5">
        <f>VLOOKUP(C501,'PESO GRUPO'!A$1:B$9,2,FALSE)</f>
        <v>20</v>
      </c>
      <c r="E501" s="6" t="s">
        <v>402</v>
      </c>
      <c r="F501" s="5">
        <f>VLOOKUP(E501,'PESOS SUBGRUPOS'!B$2:C$193,2,FALSE)</f>
        <v>10</v>
      </c>
      <c r="G501" s="6" t="s">
        <v>393</v>
      </c>
      <c r="H501" s="7" t="s">
        <v>15</v>
      </c>
      <c r="I501" s="5">
        <v>10</v>
      </c>
      <c r="M501" s="5" t="s">
        <v>500</v>
      </c>
    </row>
    <row r="502" spans="1:13" x14ac:dyDescent="0.25">
      <c r="A502" s="4">
        <v>633</v>
      </c>
      <c r="B502" s="5" t="s">
        <v>11</v>
      </c>
      <c r="C502" s="6" t="s">
        <v>381</v>
      </c>
      <c r="D502" s="5">
        <f>VLOOKUP(C502,'PESO GRUPO'!A$1:B$9,2,FALSE)</f>
        <v>20</v>
      </c>
      <c r="E502" s="6" t="s">
        <v>402</v>
      </c>
      <c r="F502" s="5">
        <f>VLOOKUP(E502,'PESOS SUBGRUPOS'!B$2:C$193,2,FALSE)</f>
        <v>10</v>
      </c>
      <c r="G502" s="6" t="s">
        <v>394</v>
      </c>
      <c r="H502" s="7" t="s">
        <v>15</v>
      </c>
      <c r="I502" s="5">
        <v>30</v>
      </c>
      <c r="M502" s="5" t="s">
        <v>500</v>
      </c>
    </row>
    <row r="503" spans="1:13" x14ac:dyDescent="0.25">
      <c r="A503" s="4">
        <v>634</v>
      </c>
      <c r="B503" s="5" t="s">
        <v>11</v>
      </c>
      <c r="C503" s="6" t="s">
        <v>381</v>
      </c>
      <c r="D503" s="5">
        <f>VLOOKUP(C503,'PESO GRUPO'!A$1:B$9,2,FALSE)</f>
        <v>20</v>
      </c>
      <c r="E503" s="6" t="s">
        <v>402</v>
      </c>
      <c r="F503" s="5">
        <f>VLOOKUP(E503,'PESOS SUBGRUPOS'!B$2:C$193,2,FALSE)</f>
        <v>10</v>
      </c>
      <c r="G503" s="6" t="s">
        <v>395</v>
      </c>
      <c r="H503" s="7" t="s">
        <v>15</v>
      </c>
      <c r="I503" s="5">
        <v>10</v>
      </c>
      <c r="M503" s="5" t="s">
        <v>500</v>
      </c>
    </row>
    <row r="504" spans="1:13" x14ac:dyDescent="0.25">
      <c r="A504" s="4">
        <v>635</v>
      </c>
      <c r="B504" s="5" t="s">
        <v>11</v>
      </c>
      <c r="C504" s="6" t="s">
        <v>381</v>
      </c>
      <c r="D504" s="5">
        <f>VLOOKUP(C504,'PESO GRUPO'!A$1:B$9,2,FALSE)</f>
        <v>20</v>
      </c>
      <c r="E504" s="6" t="s">
        <v>402</v>
      </c>
      <c r="F504" s="5">
        <f>VLOOKUP(E504,'PESOS SUBGRUPOS'!B$2:C$193,2,FALSE)</f>
        <v>10</v>
      </c>
      <c r="G504" s="6" t="s">
        <v>396</v>
      </c>
      <c r="H504" s="7" t="s">
        <v>15</v>
      </c>
      <c r="I504" s="5">
        <v>20</v>
      </c>
      <c r="M504" s="5" t="s">
        <v>500</v>
      </c>
    </row>
    <row r="505" spans="1:13" x14ac:dyDescent="0.25">
      <c r="A505" s="4">
        <v>636</v>
      </c>
      <c r="B505" s="5" t="s">
        <v>11</v>
      </c>
      <c r="C505" s="6" t="s">
        <v>381</v>
      </c>
      <c r="D505" s="5">
        <f>VLOOKUP(C505,'PESO GRUPO'!A$1:B$9,2,FALSE)</f>
        <v>20</v>
      </c>
      <c r="E505" s="6" t="s">
        <v>402</v>
      </c>
      <c r="F505" s="5">
        <f>VLOOKUP(E505,'PESOS SUBGRUPOS'!B$2:C$193,2,FALSE)</f>
        <v>10</v>
      </c>
      <c r="G505" s="6" t="s">
        <v>397</v>
      </c>
      <c r="H505" s="7" t="s">
        <v>15</v>
      </c>
      <c r="I505" s="5">
        <v>20</v>
      </c>
      <c r="M505" s="5" t="s">
        <v>500</v>
      </c>
    </row>
    <row r="506" spans="1:13" x14ac:dyDescent="0.25">
      <c r="A506" s="4">
        <v>637</v>
      </c>
      <c r="B506" s="5" t="s">
        <v>11</v>
      </c>
      <c r="C506" s="6" t="s">
        <v>381</v>
      </c>
      <c r="D506" s="5">
        <f>VLOOKUP(C506,'PESO GRUPO'!A$1:B$9,2,FALSE)</f>
        <v>20</v>
      </c>
      <c r="E506" s="6" t="s">
        <v>402</v>
      </c>
      <c r="F506" s="5">
        <f>VLOOKUP(E506,'PESOS SUBGRUPOS'!B$2:C$193,2,FALSE)</f>
        <v>10</v>
      </c>
      <c r="G506" s="6" t="s">
        <v>398</v>
      </c>
      <c r="H506" s="7" t="s">
        <v>15</v>
      </c>
      <c r="I506" s="5">
        <v>10</v>
      </c>
      <c r="M506" s="5" t="s">
        <v>500</v>
      </c>
    </row>
    <row r="507" spans="1:13" x14ac:dyDescent="0.25">
      <c r="A507" s="4">
        <v>638</v>
      </c>
      <c r="B507" s="5" t="s">
        <v>11</v>
      </c>
      <c r="C507" s="6" t="s">
        <v>381</v>
      </c>
      <c r="D507" s="5">
        <f>VLOOKUP(C507,'PESO GRUPO'!A$1:B$9,2,FALSE)</f>
        <v>20</v>
      </c>
      <c r="E507" s="6" t="s">
        <v>402</v>
      </c>
      <c r="F507" s="5">
        <f>VLOOKUP(E507,'PESOS SUBGRUPOS'!B$2:C$193,2,FALSE)</f>
        <v>10</v>
      </c>
      <c r="G507" s="6" t="s">
        <v>399</v>
      </c>
      <c r="H507" s="7" t="s">
        <v>15</v>
      </c>
      <c r="I507" s="5">
        <v>10</v>
      </c>
      <c r="M507" s="5" t="s">
        <v>500</v>
      </c>
    </row>
    <row r="508" spans="1:13" x14ac:dyDescent="0.25">
      <c r="A508" s="4">
        <v>639</v>
      </c>
      <c r="B508" s="5" t="s">
        <v>11</v>
      </c>
      <c r="C508" s="6" t="s">
        <v>381</v>
      </c>
      <c r="D508" s="5">
        <f>VLOOKUP(C508,'PESO GRUPO'!A$1:B$9,2,FALSE)</f>
        <v>20</v>
      </c>
      <c r="E508" s="6" t="s">
        <v>402</v>
      </c>
      <c r="F508" s="5">
        <f>VLOOKUP(E508,'PESOS SUBGRUPOS'!B$2:C$193,2,FALSE)</f>
        <v>10</v>
      </c>
      <c r="G508" s="6" t="s">
        <v>400</v>
      </c>
      <c r="H508" s="7" t="s">
        <v>15</v>
      </c>
      <c r="I508" s="5">
        <v>10</v>
      </c>
      <c r="M508" s="5" t="s">
        <v>500</v>
      </c>
    </row>
    <row r="509" spans="1:13" x14ac:dyDescent="0.25">
      <c r="A509" s="4">
        <v>640</v>
      </c>
      <c r="B509" s="5" t="s">
        <v>11</v>
      </c>
      <c r="C509" s="6" t="s">
        <v>381</v>
      </c>
      <c r="D509" s="5">
        <f>VLOOKUP(C509,'PESO GRUPO'!A$1:B$9,2,FALSE)</f>
        <v>20</v>
      </c>
      <c r="E509" s="6" t="s">
        <v>402</v>
      </c>
      <c r="F509" s="5">
        <f>VLOOKUP(E509,'PESOS SUBGRUPOS'!B$2:C$193,2,FALSE)</f>
        <v>10</v>
      </c>
      <c r="G509" s="6" t="s">
        <v>401</v>
      </c>
      <c r="H509" s="7" t="s">
        <v>15</v>
      </c>
      <c r="I509" s="5">
        <v>10</v>
      </c>
      <c r="M509" s="5" t="s">
        <v>500</v>
      </c>
    </row>
    <row r="510" spans="1:13" x14ac:dyDescent="0.25">
      <c r="A510" s="4">
        <v>641</v>
      </c>
      <c r="B510" s="5" t="s">
        <v>16</v>
      </c>
      <c r="C510" s="6" t="s">
        <v>381</v>
      </c>
      <c r="D510" s="5">
        <f>VLOOKUP(C510,'PESO GRUPO'!A$1:B$9,2,FALSE)</f>
        <v>20</v>
      </c>
      <c r="E510" s="6" t="s">
        <v>403</v>
      </c>
      <c r="F510" s="5">
        <f>VLOOKUP(E510,'PESOS SUBGRUPOS'!B$2:C$193,2,FALSE)</f>
        <v>10</v>
      </c>
      <c r="G510" s="6" t="s">
        <v>383</v>
      </c>
      <c r="H510" s="7" t="s">
        <v>15</v>
      </c>
      <c r="I510" s="5">
        <v>0</v>
      </c>
      <c r="M510" s="5" t="s">
        <v>500</v>
      </c>
    </row>
    <row r="511" spans="1:13" x14ac:dyDescent="0.25">
      <c r="A511" s="4">
        <v>642</v>
      </c>
      <c r="B511" s="5" t="s">
        <v>11</v>
      </c>
      <c r="C511" s="6" t="s">
        <v>381</v>
      </c>
      <c r="D511" s="5">
        <f>VLOOKUP(C511,'PESO GRUPO'!A$1:B$9,2,FALSE)</f>
        <v>20</v>
      </c>
      <c r="E511" s="6" t="s">
        <v>403</v>
      </c>
      <c r="F511" s="5">
        <f>VLOOKUP(E511,'PESOS SUBGRUPOS'!B$2:C$193,2,FALSE)</f>
        <v>10</v>
      </c>
      <c r="G511" s="6" t="s">
        <v>384</v>
      </c>
      <c r="H511" s="7" t="s">
        <v>15</v>
      </c>
      <c r="I511" s="5">
        <v>10</v>
      </c>
      <c r="M511" s="5" t="s">
        <v>500</v>
      </c>
    </row>
    <row r="512" spans="1:13" x14ac:dyDescent="0.25">
      <c r="A512" s="4">
        <v>643</v>
      </c>
      <c r="B512" s="5" t="s">
        <v>11</v>
      </c>
      <c r="C512" s="6" t="s">
        <v>381</v>
      </c>
      <c r="D512" s="5">
        <f>VLOOKUP(C512,'PESO GRUPO'!A$1:B$9,2,FALSE)</f>
        <v>20</v>
      </c>
      <c r="E512" s="6" t="s">
        <v>403</v>
      </c>
      <c r="F512" s="5">
        <f>VLOOKUP(E512,'PESOS SUBGRUPOS'!B$2:C$193,2,FALSE)</f>
        <v>10</v>
      </c>
      <c r="G512" s="6" t="s">
        <v>385</v>
      </c>
      <c r="H512" s="7" t="s">
        <v>15</v>
      </c>
      <c r="I512" s="5">
        <v>20</v>
      </c>
      <c r="M512" s="5" t="s">
        <v>500</v>
      </c>
    </row>
    <row r="513" spans="1:13" x14ac:dyDescent="0.25">
      <c r="A513" s="4">
        <v>644</v>
      </c>
      <c r="B513" s="5" t="s">
        <v>11</v>
      </c>
      <c r="C513" s="6" t="s">
        <v>381</v>
      </c>
      <c r="D513" s="5">
        <f>VLOOKUP(C513,'PESO GRUPO'!A$1:B$9,2,FALSE)</f>
        <v>20</v>
      </c>
      <c r="E513" s="6" t="s">
        <v>403</v>
      </c>
      <c r="F513" s="5">
        <f>VLOOKUP(E513,'PESOS SUBGRUPOS'!B$2:C$193,2,FALSE)</f>
        <v>10</v>
      </c>
      <c r="G513" s="6" t="s">
        <v>386</v>
      </c>
      <c r="H513" s="7" t="s">
        <v>15</v>
      </c>
      <c r="I513" s="5">
        <v>30</v>
      </c>
      <c r="M513" s="5" t="s">
        <v>500</v>
      </c>
    </row>
    <row r="514" spans="1:13" x14ac:dyDescent="0.25">
      <c r="A514" s="4">
        <v>645</v>
      </c>
      <c r="B514" s="5" t="s">
        <v>11</v>
      </c>
      <c r="C514" s="6" t="s">
        <v>381</v>
      </c>
      <c r="D514" s="5">
        <f>VLOOKUP(C514,'PESO GRUPO'!A$1:B$9,2,FALSE)</f>
        <v>20</v>
      </c>
      <c r="E514" s="6" t="s">
        <v>403</v>
      </c>
      <c r="F514" s="5">
        <f>VLOOKUP(E514,'PESOS SUBGRUPOS'!B$2:C$193,2,FALSE)</f>
        <v>10</v>
      </c>
      <c r="G514" s="6" t="s">
        <v>387</v>
      </c>
      <c r="H514" s="7" t="s">
        <v>15</v>
      </c>
      <c r="I514" s="5">
        <v>30</v>
      </c>
      <c r="M514" s="5" t="s">
        <v>500</v>
      </c>
    </row>
    <row r="515" spans="1:13" x14ac:dyDescent="0.25">
      <c r="A515" s="4">
        <v>646</v>
      </c>
      <c r="B515" s="5" t="s">
        <v>11</v>
      </c>
      <c r="C515" s="6" t="s">
        <v>381</v>
      </c>
      <c r="D515" s="5">
        <f>VLOOKUP(C515,'PESO GRUPO'!A$1:B$9,2,FALSE)</f>
        <v>20</v>
      </c>
      <c r="E515" s="6" t="s">
        <v>403</v>
      </c>
      <c r="F515" s="5">
        <f>VLOOKUP(E515,'PESOS SUBGRUPOS'!B$2:C$193,2,FALSE)</f>
        <v>10</v>
      </c>
      <c r="G515" s="6" t="s">
        <v>370</v>
      </c>
      <c r="H515" s="7" t="s">
        <v>15</v>
      </c>
      <c r="I515" s="5">
        <v>20</v>
      </c>
      <c r="M515" s="5" t="s">
        <v>500</v>
      </c>
    </row>
    <row r="516" spans="1:13" x14ac:dyDescent="0.25">
      <c r="A516" s="4">
        <v>647</v>
      </c>
      <c r="B516" s="5" t="s">
        <v>11</v>
      </c>
      <c r="C516" s="6" t="s">
        <v>381</v>
      </c>
      <c r="D516" s="5">
        <f>VLOOKUP(C516,'PESO GRUPO'!A$1:B$9,2,FALSE)</f>
        <v>20</v>
      </c>
      <c r="E516" s="6" t="s">
        <v>403</v>
      </c>
      <c r="F516" s="5">
        <f>VLOOKUP(E516,'PESOS SUBGRUPOS'!B$2:C$193,2,FALSE)</f>
        <v>10</v>
      </c>
      <c r="G516" s="6" t="s">
        <v>388</v>
      </c>
      <c r="H516" s="7" t="s">
        <v>15</v>
      </c>
      <c r="I516" s="5">
        <v>10</v>
      </c>
      <c r="M516" s="5" t="s">
        <v>500</v>
      </c>
    </row>
    <row r="517" spans="1:13" x14ac:dyDescent="0.25">
      <c r="A517" s="4">
        <v>648</v>
      </c>
      <c r="B517" s="5" t="s">
        <v>11</v>
      </c>
      <c r="C517" s="6" t="s">
        <v>381</v>
      </c>
      <c r="D517" s="5">
        <f>VLOOKUP(C517,'PESO GRUPO'!A$1:B$9,2,FALSE)</f>
        <v>20</v>
      </c>
      <c r="E517" s="6" t="s">
        <v>403</v>
      </c>
      <c r="F517" s="5">
        <f>VLOOKUP(E517,'PESOS SUBGRUPOS'!B$2:C$193,2,FALSE)</f>
        <v>10</v>
      </c>
      <c r="G517" s="6" t="s">
        <v>389</v>
      </c>
      <c r="H517" s="7" t="s">
        <v>15</v>
      </c>
      <c r="I517" s="5">
        <v>10</v>
      </c>
      <c r="M517" s="5" t="s">
        <v>500</v>
      </c>
    </row>
    <row r="518" spans="1:13" x14ac:dyDescent="0.25">
      <c r="A518" s="4">
        <v>649</v>
      </c>
      <c r="B518" s="5" t="s">
        <v>11</v>
      </c>
      <c r="C518" s="6" t="s">
        <v>381</v>
      </c>
      <c r="D518" s="5">
        <f>VLOOKUP(C518,'PESO GRUPO'!A$1:B$9,2,FALSE)</f>
        <v>20</v>
      </c>
      <c r="E518" s="6" t="s">
        <v>403</v>
      </c>
      <c r="F518" s="5">
        <f>VLOOKUP(E518,'PESOS SUBGRUPOS'!B$2:C$193,2,FALSE)</f>
        <v>10</v>
      </c>
      <c r="G518" s="6" t="s">
        <v>390</v>
      </c>
      <c r="H518" s="7" t="s">
        <v>15</v>
      </c>
      <c r="I518" s="5">
        <v>10</v>
      </c>
      <c r="M518" s="5" t="s">
        <v>500</v>
      </c>
    </row>
    <row r="519" spans="1:13" x14ac:dyDescent="0.25">
      <c r="A519" s="4">
        <v>650</v>
      </c>
      <c r="B519" s="5" t="s">
        <v>11</v>
      </c>
      <c r="C519" s="6" t="s">
        <v>381</v>
      </c>
      <c r="D519" s="5">
        <f>VLOOKUP(C519,'PESO GRUPO'!A$1:B$9,2,FALSE)</f>
        <v>20</v>
      </c>
      <c r="E519" s="6" t="s">
        <v>403</v>
      </c>
      <c r="F519" s="5">
        <f>VLOOKUP(E519,'PESOS SUBGRUPOS'!B$2:C$193,2,FALSE)</f>
        <v>10</v>
      </c>
      <c r="G519" s="6" t="s">
        <v>471</v>
      </c>
      <c r="H519" s="7" t="s">
        <v>15</v>
      </c>
      <c r="I519" s="5">
        <v>10</v>
      </c>
      <c r="M519" s="5" t="s">
        <v>500</v>
      </c>
    </row>
    <row r="520" spans="1:13" x14ac:dyDescent="0.25">
      <c r="A520" s="4">
        <v>651</v>
      </c>
      <c r="B520" s="5" t="s">
        <v>11</v>
      </c>
      <c r="C520" s="6" t="s">
        <v>381</v>
      </c>
      <c r="D520" s="5">
        <f>VLOOKUP(C520,'PESO GRUPO'!A$1:B$9,2,FALSE)</f>
        <v>20</v>
      </c>
      <c r="E520" s="6" t="s">
        <v>403</v>
      </c>
      <c r="F520" s="5">
        <f>VLOOKUP(E520,'PESOS SUBGRUPOS'!B$2:C$193,2,FALSE)</f>
        <v>10</v>
      </c>
      <c r="G520" s="6" t="s">
        <v>391</v>
      </c>
      <c r="H520" s="7" t="s">
        <v>15</v>
      </c>
      <c r="I520" s="5">
        <v>10</v>
      </c>
      <c r="M520" s="5" t="s">
        <v>500</v>
      </c>
    </row>
    <row r="521" spans="1:13" x14ac:dyDescent="0.25">
      <c r="A521" s="4">
        <v>652</v>
      </c>
      <c r="B521" s="5" t="s">
        <v>11</v>
      </c>
      <c r="C521" s="6" t="s">
        <v>381</v>
      </c>
      <c r="D521" s="5">
        <f>VLOOKUP(C521,'PESO GRUPO'!A$1:B$9,2,FALSE)</f>
        <v>20</v>
      </c>
      <c r="E521" s="6" t="s">
        <v>403</v>
      </c>
      <c r="F521" s="5">
        <f>VLOOKUP(E521,'PESOS SUBGRUPOS'!B$2:C$193,2,FALSE)</f>
        <v>10</v>
      </c>
      <c r="G521" s="6" t="s">
        <v>392</v>
      </c>
      <c r="H521" s="7" t="s">
        <v>15</v>
      </c>
      <c r="I521" s="5">
        <v>10</v>
      </c>
      <c r="M521" s="5" t="s">
        <v>500</v>
      </c>
    </row>
    <row r="522" spans="1:13" x14ac:dyDescent="0.25">
      <c r="A522" s="4">
        <v>653</v>
      </c>
      <c r="B522" s="5" t="s">
        <v>11</v>
      </c>
      <c r="C522" s="6" t="s">
        <v>381</v>
      </c>
      <c r="D522" s="5">
        <f>VLOOKUP(C522,'PESO GRUPO'!A$1:B$9,2,FALSE)</f>
        <v>20</v>
      </c>
      <c r="E522" s="6" t="s">
        <v>403</v>
      </c>
      <c r="F522" s="5">
        <f>VLOOKUP(E522,'PESOS SUBGRUPOS'!B$2:C$193,2,FALSE)</f>
        <v>10</v>
      </c>
      <c r="G522" s="6" t="s">
        <v>337</v>
      </c>
      <c r="H522" s="7" t="s">
        <v>15</v>
      </c>
      <c r="I522" s="5">
        <v>30</v>
      </c>
      <c r="M522" s="5" t="s">
        <v>500</v>
      </c>
    </row>
    <row r="523" spans="1:13" x14ac:dyDescent="0.25">
      <c r="A523" s="4">
        <v>654</v>
      </c>
      <c r="B523" s="5" t="s">
        <v>11</v>
      </c>
      <c r="C523" s="6" t="s">
        <v>381</v>
      </c>
      <c r="D523" s="5">
        <f>VLOOKUP(C523,'PESO GRUPO'!A$1:B$9,2,FALSE)</f>
        <v>20</v>
      </c>
      <c r="E523" s="6" t="s">
        <v>403</v>
      </c>
      <c r="F523" s="5">
        <f>VLOOKUP(E523,'PESOS SUBGRUPOS'!B$2:C$193,2,FALSE)</f>
        <v>10</v>
      </c>
      <c r="G523" s="6" t="s">
        <v>393</v>
      </c>
      <c r="H523" s="7" t="s">
        <v>15</v>
      </c>
      <c r="I523" s="5">
        <v>10</v>
      </c>
      <c r="M523" s="5" t="s">
        <v>500</v>
      </c>
    </row>
    <row r="524" spans="1:13" x14ac:dyDescent="0.25">
      <c r="A524" s="4">
        <v>655</v>
      </c>
      <c r="B524" s="5" t="s">
        <v>11</v>
      </c>
      <c r="C524" s="6" t="s">
        <v>381</v>
      </c>
      <c r="D524" s="5">
        <f>VLOOKUP(C524,'PESO GRUPO'!A$1:B$9,2,FALSE)</f>
        <v>20</v>
      </c>
      <c r="E524" s="6" t="s">
        <v>403</v>
      </c>
      <c r="F524" s="5">
        <f>VLOOKUP(E524,'PESOS SUBGRUPOS'!B$2:C$193,2,FALSE)</f>
        <v>10</v>
      </c>
      <c r="G524" s="6" t="s">
        <v>394</v>
      </c>
      <c r="H524" s="7" t="s">
        <v>15</v>
      </c>
      <c r="I524" s="5">
        <v>30</v>
      </c>
      <c r="M524" s="5" t="s">
        <v>500</v>
      </c>
    </row>
    <row r="525" spans="1:13" x14ac:dyDescent="0.25">
      <c r="A525" s="4">
        <v>656</v>
      </c>
      <c r="B525" s="5" t="s">
        <v>11</v>
      </c>
      <c r="C525" s="6" t="s">
        <v>381</v>
      </c>
      <c r="D525" s="5">
        <f>VLOOKUP(C525,'PESO GRUPO'!A$1:B$9,2,FALSE)</f>
        <v>20</v>
      </c>
      <c r="E525" s="6" t="s">
        <v>403</v>
      </c>
      <c r="F525" s="5">
        <f>VLOOKUP(E525,'PESOS SUBGRUPOS'!B$2:C$193,2,FALSE)</f>
        <v>10</v>
      </c>
      <c r="G525" s="6" t="s">
        <v>395</v>
      </c>
      <c r="H525" s="7" t="s">
        <v>15</v>
      </c>
      <c r="I525" s="5">
        <v>10</v>
      </c>
      <c r="M525" s="5" t="s">
        <v>500</v>
      </c>
    </row>
    <row r="526" spans="1:13" x14ac:dyDescent="0.25">
      <c r="A526" s="4">
        <v>657</v>
      </c>
      <c r="B526" s="5" t="s">
        <v>11</v>
      </c>
      <c r="C526" s="6" t="s">
        <v>381</v>
      </c>
      <c r="D526" s="5">
        <f>VLOOKUP(C526,'PESO GRUPO'!A$1:B$9,2,FALSE)</f>
        <v>20</v>
      </c>
      <c r="E526" s="6" t="s">
        <v>403</v>
      </c>
      <c r="F526" s="5">
        <f>VLOOKUP(E526,'PESOS SUBGRUPOS'!B$2:C$193,2,FALSE)</f>
        <v>10</v>
      </c>
      <c r="G526" s="6" t="s">
        <v>396</v>
      </c>
      <c r="H526" s="7" t="s">
        <v>15</v>
      </c>
      <c r="I526" s="5">
        <v>20</v>
      </c>
      <c r="M526" s="5" t="s">
        <v>500</v>
      </c>
    </row>
    <row r="527" spans="1:13" x14ac:dyDescent="0.25">
      <c r="A527" s="4">
        <v>658</v>
      </c>
      <c r="B527" s="5" t="s">
        <v>11</v>
      </c>
      <c r="C527" s="6" t="s">
        <v>381</v>
      </c>
      <c r="D527" s="5">
        <f>VLOOKUP(C527,'PESO GRUPO'!A$1:B$9,2,FALSE)</f>
        <v>20</v>
      </c>
      <c r="E527" s="6" t="s">
        <v>403</v>
      </c>
      <c r="F527" s="5">
        <f>VLOOKUP(E527,'PESOS SUBGRUPOS'!B$2:C$193,2,FALSE)</f>
        <v>10</v>
      </c>
      <c r="G527" s="6" t="s">
        <v>397</v>
      </c>
      <c r="H527" s="7" t="s">
        <v>15</v>
      </c>
      <c r="I527" s="5">
        <v>20</v>
      </c>
      <c r="M527" s="5" t="s">
        <v>500</v>
      </c>
    </row>
    <row r="528" spans="1:13" x14ac:dyDescent="0.25">
      <c r="A528" s="4">
        <v>659</v>
      </c>
      <c r="B528" s="5" t="s">
        <v>11</v>
      </c>
      <c r="C528" s="6" t="s">
        <v>381</v>
      </c>
      <c r="D528" s="5">
        <f>VLOOKUP(C528,'PESO GRUPO'!A$1:B$9,2,FALSE)</f>
        <v>20</v>
      </c>
      <c r="E528" s="6" t="s">
        <v>403</v>
      </c>
      <c r="F528" s="5">
        <f>VLOOKUP(E528,'PESOS SUBGRUPOS'!B$2:C$193,2,FALSE)</f>
        <v>10</v>
      </c>
      <c r="G528" s="6" t="s">
        <v>398</v>
      </c>
      <c r="H528" s="7" t="s">
        <v>15</v>
      </c>
      <c r="I528" s="5">
        <v>10</v>
      </c>
      <c r="M528" s="5" t="s">
        <v>500</v>
      </c>
    </row>
    <row r="529" spans="1:13" x14ac:dyDescent="0.25">
      <c r="A529" s="4">
        <v>660</v>
      </c>
      <c r="B529" s="5" t="s">
        <v>11</v>
      </c>
      <c r="C529" s="6" t="s">
        <v>381</v>
      </c>
      <c r="D529" s="5">
        <f>VLOOKUP(C529,'PESO GRUPO'!A$1:B$9,2,FALSE)</f>
        <v>20</v>
      </c>
      <c r="E529" s="6" t="s">
        <v>403</v>
      </c>
      <c r="F529" s="5">
        <f>VLOOKUP(E529,'PESOS SUBGRUPOS'!B$2:C$193,2,FALSE)</f>
        <v>10</v>
      </c>
      <c r="G529" s="6" t="s">
        <v>399</v>
      </c>
      <c r="H529" s="7" t="s">
        <v>15</v>
      </c>
      <c r="I529" s="5">
        <v>10</v>
      </c>
      <c r="M529" s="5" t="s">
        <v>500</v>
      </c>
    </row>
    <row r="530" spans="1:13" x14ac:dyDescent="0.25">
      <c r="A530" s="4">
        <v>661</v>
      </c>
      <c r="B530" s="5" t="s">
        <v>11</v>
      </c>
      <c r="C530" s="6" t="s">
        <v>381</v>
      </c>
      <c r="D530" s="5">
        <f>VLOOKUP(C530,'PESO GRUPO'!A$1:B$9,2,FALSE)</f>
        <v>20</v>
      </c>
      <c r="E530" s="6" t="s">
        <v>403</v>
      </c>
      <c r="F530" s="5">
        <f>VLOOKUP(E530,'PESOS SUBGRUPOS'!B$2:C$193,2,FALSE)</f>
        <v>10</v>
      </c>
      <c r="G530" s="6" t="s">
        <v>400</v>
      </c>
      <c r="H530" s="7" t="s">
        <v>15</v>
      </c>
      <c r="I530" s="5">
        <v>10</v>
      </c>
      <c r="M530" s="5" t="s">
        <v>500</v>
      </c>
    </row>
    <row r="531" spans="1:13" x14ac:dyDescent="0.25">
      <c r="A531" s="4">
        <v>662</v>
      </c>
      <c r="B531" s="5" t="s">
        <v>11</v>
      </c>
      <c r="C531" s="6" t="s">
        <v>381</v>
      </c>
      <c r="D531" s="5">
        <f>VLOOKUP(C531,'PESO GRUPO'!A$1:B$9,2,FALSE)</f>
        <v>20</v>
      </c>
      <c r="E531" s="6" t="s">
        <v>403</v>
      </c>
      <c r="F531" s="5">
        <f>VLOOKUP(E531,'PESOS SUBGRUPOS'!B$2:C$193,2,FALSE)</f>
        <v>10</v>
      </c>
      <c r="G531" s="6" t="s">
        <v>401</v>
      </c>
      <c r="H531" s="7" t="s">
        <v>15</v>
      </c>
      <c r="I531" s="5">
        <v>10</v>
      </c>
      <c r="M531" s="5" t="s">
        <v>500</v>
      </c>
    </row>
    <row r="532" spans="1:13" x14ac:dyDescent="0.25">
      <c r="A532" s="4">
        <v>663</v>
      </c>
      <c r="B532" s="5" t="s">
        <v>16</v>
      </c>
      <c r="C532" s="6" t="s">
        <v>381</v>
      </c>
      <c r="D532" s="5">
        <f>VLOOKUP(C532,'PESO GRUPO'!A$1:B$9,2,FALSE)</f>
        <v>20</v>
      </c>
      <c r="E532" s="6" t="s">
        <v>404</v>
      </c>
      <c r="F532" s="5">
        <f>VLOOKUP(E532,'PESOS SUBGRUPOS'!B$2:C$193,2,FALSE)</f>
        <v>10</v>
      </c>
      <c r="G532" s="6" t="s">
        <v>383</v>
      </c>
      <c r="H532" s="7" t="s">
        <v>15</v>
      </c>
      <c r="I532" s="5">
        <v>0</v>
      </c>
      <c r="M532" s="5" t="s">
        <v>500</v>
      </c>
    </row>
    <row r="533" spans="1:13" x14ac:dyDescent="0.25">
      <c r="A533" s="4">
        <v>664</v>
      </c>
      <c r="B533" s="5" t="s">
        <v>11</v>
      </c>
      <c r="C533" s="6" t="s">
        <v>381</v>
      </c>
      <c r="D533" s="5">
        <f>VLOOKUP(C533,'PESO GRUPO'!A$1:B$9,2,FALSE)</f>
        <v>20</v>
      </c>
      <c r="E533" s="6" t="s">
        <v>404</v>
      </c>
      <c r="F533" s="5">
        <f>VLOOKUP(E533,'PESOS SUBGRUPOS'!B$2:C$193,2,FALSE)</f>
        <v>10</v>
      </c>
      <c r="G533" s="6" t="s">
        <v>384</v>
      </c>
      <c r="H533" s="7" t="s">
        <v>15</v>
      </c>
      <c r="I533" s="5">
        <v>10</v>
      </c>
      <c r="M533" s="5" t="s">
        <v>500</v>
      </c>
    </row>
    <row r="534" spans="1:13" x14ac:dyDescent="0.25">
      <c r="A534" s="4">
        <v>665</v>
      </c>
      <c r="B534" s="5" t="s">
        <v>11</v>
      </c>
      <c r="C534" s="6" t="s">
        <v>381</v>
      </c>
      <c r="D534" s="5">
        <f>VLOOKUP(C534,'PESO GRUPO'!A$1:B$9,2,FALSE)</f>
        <v>20</v>
      </c>
      <c r="E534" s="6" t="s">
        <v>404</v>
      </c>
      <c r="F534" s="5">
        <f>VLOOKUP(E534,'PESOS SUBGRUPOS'!B$2:C$193,2,FALSE)</f>
        <v>10</v>
      </c>
      <c r="G534" s="6" t="s">
        <v>385</v>
      </c>
      <c r="H534" s="7" t="s">
        <v>15</v>
      </c>
      <c r="I534" s="5">
        <v>20</v>
      </c>
      <c r="M534" s="5" t="s">
        <v>500</v>
      </c>
    </row>
    <row r="535" spans="1:13" x14ac:dyDescent="0.25">
      <c r="A535" s="4">
        <v>666</v>
      </c>
      <c r="B535" s="5" t="s">
        <v>11</v>
      </c>
      <c r="C535" s="6" t="s">
        <v>381</v>
      </c>
      <c r="D535" s="5">
        <f>VLOOKUP(C535,'PESO GRUPO'!A$1:B$9,2,FALSE)</f>
        <v>20</v>
      </c>
      <c r="E535" s="6" t="s">
        <v>404</v>
      </c>
      <c r="F535" s="5">
        <f>VLOOKUP(E535,'PESOS SUBGRUPOS'!B$2:C$193,2,FALSE)</f>
        <v>10</v>
      </c>
      <c r="G535" s="6" t="s">
        <v>386</v>
      </c>
      <c r="H535" s="7" t="s">
        <v>15</v>
      </c>
      <c r="I535" s="5">
        <v>30</v>
      </c>
      <c r="M535" s="5" t="s">
        <v>500</v>
      </c>
    </row>
    <row r="536" spans="1:13" x14ac:dyDescent="0.25">
      <c r="A536" s="4">
        <v>667</v>
      </c>
      <c r="B536" s="5" t="s">
        <v>11</v>
      </c>
      <c r="C536" s="6" t="s">
        <v>381</v>
      </c>
      <c r="D536" s="5">
        <f>VLOOKUP(C536,'PESO GRUPO'!A$1:B$9,2,FALSE)</f>
        <v>20</v>
      </c>
      <c r="E536" s="6" t="s">
        <v>404</v>
      </c>
      <c r="F536" s="5">
        <f>VLOOKUP(E536,'PESOS SUBGRUPOS'!B$2:C$193,2,FALSE)</f>
        <v>10</v>
      </c>
      <c r="G536" s="6" t="s">
        <v>387</v>
      </c>
      <c r="H536" s="7" t="s">
        <v>15</v>
      </c>
      <c r="I536" s="5">
        <v>30</v>
      </c>
      <c r="M536" s="5" t="s">
        <v>500</v>
      </c>
    </row>
    <row r="537" spans="1:13" x14ac:dyDescent="0.25">
      <c r="A537" s="4">
        <v>668</v>
      </c>
      <c r="B537" s="5" t="s">
        <v>11</v>
      </c>
      <c r="C537" s="6" t="s">
        <v>381</v>
      </c>
      <c r="D537" s="5">
        <f>VLOOKUP(C537,'PESO GRUPO'!A$1:B$9,2,FALSE)</f>
        <v>20</v>
      </c>
      <c r="E537" s="6" t="s">
        <v>404</v>
      </c>
      <c r="F537" s="5">
        <f>VLOOKUP(E537,'PESOS SUBGRUPOS'!B$2:C$193,2,FALSE)</f>
        <v>10</v>
      </c>
      <c r="G537" s="6" t="s">
        <v>370</v>
      </c>
      <c r="H537" s="7" t="s">
        <v>15</v>
      </c>
      <c r="I537" s="5">
        <v>20</v>
      </c>
      <c r="M537" s="5" t="s">
        <v>500</v>
      </c>
    </row>
    <row r="538" spans="1:13" x14ac:dyDescent="0.25">
      <c r="A538" s="4">
        <v>669</v>
      </c>
      <c r="B538" s="5" t="s">
        <v>11</v>
      </c>
      <c r="C538" s="6" t="s">
        <v>381</v>
      </c>
      <c r="D538" s="5">
        <f>VLOOKUP(C538,'PESO GRUPO'!A$1:B$9,2,FALSE)</f>
        <v>20</v>
      </c>
      <c r="E538" s="6" t="s">
        <v>404</v>
      </c>
      <c r="F538" s="5">
        <f>VLOOKUP(E538,'PESOS SUBGRUPOS'!B$2:C$193,2,FALSE)</f>
        <v>10</v>
      </c>
      <c r="G538" s="6" t="s">
        <v>388</v>
      </c>
      <c r="H538" s="7" t="s">
        <v>15</v>
      </c>
      <c r="I538" s="5">
        <v>10</v>
      </c>
      <c r="M538" s="5" t="s">
        <v>500</v>
      </c>
    </row>
    <row r="539" spans="1:13" x14ac:dyDescent="0.25">
      <c r="A539" s="4">
        <v>670</v>
      </c>
      <c r="B539" s="5" t="s">
        <v>11</v>
      </c>
      <c r="C539" s="6" t="s">
        <v>381</v>
      </c>
      <c r="D539" s="5">
        <f>VLOOKUP(C539,'PESO GRUPO'!A$1:B$9,2,FALSE)</f>
        <v>20</v>
      </c>
      <c r="E539" s="6" t="s">
        <v>404</v>
      </c>
      <c r="F539" s="5">
        <f>VLOOKUP(E539,'PESOS SUBGRUPOS'!B$2:C$193,2,FALSE)</f>
        <v>10</v>
      </c>
      <c r="G539" s="6" t="s">
        <v>389</v>
      </c>
      <c r="H539" s="7" t="s">
        <v>15</v>
      </c>
      <c r="I539" s="5">
        <v>10</v>
      </c>
      <c r="M539" s="5" t="s">
        <v>500</v>
      </c>
    </row>
    <row r="540" spans="1:13" x14ac:dyDescent="0.25">
      <c r="A540" s="4">
        <v>671</v>
      </c>
      <c r="B540" s="5" t="s">
        <v>11</v>
      </c>
      <c r="C540" s="6" t="s">
        <v>381</v>
      </c>
      <c r="D540" s="5">
        <f>VLOOKUP(C540,'PESO GRUPO'!A$1:B$9,2,FALSE)</f>
        <v>20</v>
      </c>
      <c r="E540" s="6" t="s">
        <v>404</v>
      </c>
      <c r="F540" s="5">
        <f>VLOOKUP(E540,'PESOS SUBGRUPOS'!B$2:C$193,2,FALSE)</f>
        <v>10</v>
      </c>
      <c r="G540" s="6" t="s">
        <v>390</v>
      </c>
      <c r="H540" s="7" t="s">
        <v>15</v>
      </c>
      <c r="I540" s="5">
        <v>10</v>
      </c>
      <c r="M540" s="5" t="s">
        <v>500</v>
      </c>
    </row>
    <row r="541" spans="1:13" x14ac:dyDescent="0.25">
      <c r="A541" s="4">
        <v>672</v>
      </c>
      <c r="B541" s="5" t="s">
        <v>11</v>
      </c>
      <c r="C541" s="6" t="s">
        <v>381</v>
      </c>
      <c r="D541" s="5">
        <f>VLOOKUP(C541,'PESO GRUPO'!A$1:B$9,2,FALSE)</f>
        <v>20</v>
      </c>
      <c r="E541" s="6" t="s">
        <v>404</v>
      </c>
      <c r="F541" s="5">
        <f>VLOOKUP(E541,'PESOS SUBGRUPOS'!B$2:C$193,2,FALSE)</f>
        <v>10</v>
      </c>
      <c r="G541" s="6" t="s">
        <v>471</v>
      </c>
      <c r="H541" s="7" t="s">
        <v>15</v>
      </c>
      <c r="I541" s="5">
        <v>10</v>
      </c>
      <c r="M541" s="5" t="s">
        <v>500</v>
      </c>
    </row>
    <row r="542" spans="1:13" x14ac:dyDescent="0.25">
      <c r="A542" s="4">
        <v>673</v>
      </c>
      <c r="B542" s="5" t="s">
        <v>11</v>
      </c>
      <c r="C542" s="6" t="s">
        <v>381</v>
      </c>
      <c r="D542" s="5">
        <f>VLOOKUP(C542,'PESO GRUPO'!A$1:B$9,2,FALSE)</f>
        <v>20</v>
      </c>
      <c r="E542" s="6" t="s">
        <v>404</v>
      </c>
      <c r="F542" s="5">
        <f>VLOOKUP(E542,'PESOS SUBGRUPOS'!B$2:C$193,2,FALSE)</f>
        <v>10</v>
      </c>
      <c r="G542" s="6" t="s">
        <v>391</v>
      </c>
      <c r="H542" s="7" t="s">
        <v>15</v>
      </c>
      <c r="I542" s="5">
        <v>10</v>
      </c>
      <c r="M542" s="5" t="s">
        <v>500</v>
      </c>
    </row>
    <row r="543" spans="1:13" x14ac:dyDescent="0.25">
      <c r="A543" s="4">
        <v>674</v>
      </c>
      <c r="B543" s="5" t="s">
        <v>11</v>
      </c>
      <c r="C543" s="6" t="s">
        <v>381</v>
      </c>
      <c r="D543" s="5">
        <f>VLOOKUP(C543,'PESO GRUPO'!A$1:B$9,2,FALSE)</f>
        <v>20</v>
      </c>
      <c r="E543" s="6" t="s">
        <v>404</v>
      </c>
      <c r="F543" s="5">
        <f>VLOOKUP(E543,'PESOS SUBGRUPOS'!B$2:C$193,2,FALSE)</f>
        <v>10</v>
      </c>
      <c r="G543" s="6" t="s">
        <v>392</v>
      </c>
      <c r="H543" s="7" t="s">
        <v>15</v>
      </c>
      <c r="I543" s="5">
        <v>10</v>
      </c>
      <c r="M543" s="5" t="s">
        <v>500</v>
      </c>
    </row>
    <row r="544" spans="1:13" x14ac:dyDescent="0.25">
      <c r="A544" s="4">
        <v>675</v>
      </c>
      <c r="B544" s="5" t="s">
        <v>11</v>
      </c>
      <c r="C544" s="6" t="s">
        <v>381</v>
      </c>
      <c r="D544" s="5">
        <f>VLOOKUP(C544,'PESO GRUPO'!A$1:B$9,2,FALSE)</f>
        <v>20</v>
      </c>
      <c r="E544" s="6" t="s">
        <v>404</v>
      </c>
      <c r="F544" s="5">
        <f>VLOOKUP(E544,'PESOS SUBGRUPOS'!B$2:C$193,2,FALSE)</f>
        <v>10</v>
      </c>
      <c r="G544" s="6" t="s">
        <v>337</v>
      </c>
      <c r="H544" s="7" t="s">
        <v>15</v>
      </c>
      <c r="I544" s="5">
        <v>30</v>
      </c>
      <c r="M544" s="5" t="s">
        <v>500</v>
      </c>
    </row>
    <row r="545" spans="1:13" x14ac:dyDescent="0.25">
      <c r="A545" s="4">
        <v>676</v>
      </c>
      <c r="B545" s="5" t="s">
        <v>11</v>
      </c>
      <c r="C545" s="6" t="s">
        <v>381</v>
      </c>
      <c r="D545" s="5">
        <f>VLOOKUP(C545,'PESO GRUPO'!A$1:B$9,2,FALSE)</f>
        <v>20</v>
      </c>
      <c r="E545" s="6" t="s">
        <v>404</v>
      </c>
      <c r="F545" s="5">
        <f>VLOOKUP(E545,'PESOS SUBGRUPOS'!B$2:C$193,2,FALSE)</f>
        <v>10</v>
      </c>
      <c r="G545" s="6" t="s">
        <v>393</v>
      </c>
      <c r="H545" s="7" t="s">
        <v>15</v>
      </c>
      <c r="I545" s="5">
        <v>10</v>
      </c>
      <c r="M545" s="5" t="s">
        <v>500</v>
      </c>
    </row>
    <row r="546" spans="1:13" x14ac:dyDescent="0.25">
      <c r="A546" s="4">
        <v>677</v>
      </c>
      <c r="B546" s="5" t="s">
        <v>11</v>
      </c>
      <c r="C546" s="6" t="s">
        <v>381</v>
      </c>
      <c r="D546" s="5">
        <f>VLOOKUP(C546,'PESO GRUPO'!A$1:B$9,2,FALSE)</f>
        <v>20</v>
      </c>
      <c r="E546" s="6" t="s">
        <v>404</v>
      </c>
      <c r="F546" s="5">
        <f>VLOOKUP(E546,'PESOS SUBGRUPOS'!B$2:C$193,2,FALSE)</f>
        <v>10</v>
      </c>
      <c r="G546" s="6" t="s">
        <v>394</v>
      </c>
      <c r="H546" s="7" t="s">
        <v>15</v>
      </c>
      <c r="I546" s="5">
        <v>30</v>
      </c>
      <c r="M546" s="5" t="s">
        <v>500</v>
      </c>
    </row>
    <row r="547" spans="1:13" x14ac:dyDescent="0.25">
      <c r="A547" s="4">
        <v>678</v>
      </c>
      <c r="B547" s="5" t="s">
        <v>11</v>
      </c>
      <c r="C547" s="6" t="s">
        <v>381</v>
      </c>
      <c r="D547" s="5">
        <f>VLOOKUP(C547,'PESO GRUPO'!A$1:B$9,2,FALSE)</f>
        <v>20</v>
      </c>
      <c r="E547" s="6" t="s">
        <v>404</v>
      </c>
      <c r="F547" s="5">
        <f>VLOOKUP(E547,'PESOS SUBGRUPOS'!B$2:C$193,2,FALSE)</f>
        <v>10</v>
      </c>
      <c r="G547" s="6" t="s">
        <v>395</v>
      </c>
      <c r="H547" s="7" t="s">
        <v>15</v>
      </c>
      <c r="I547" s="5">
        <v>10</v>
      </c>
      <c r="M547" s="5" t="s">
        <v>500</v>
      </c>
    </row>
    <row r="548" spans="1:13" x14ac:dyDescent="0.25">
      <c r="A548" s="4">
        <v>679</v>
      </c>
      <c r="B548" s="5" t="s">
        <v>11</v>
      </c>
      <c r="C548" s="6" t="s">
        <v>381</v>
      </c>
      <c r="D548" s="5">
        <f>VLOOKUP(C548,'PESO GRUPO'!A$1:B$9,2,FALSE)</f>
        <v>20</v>
      </c>
      <c r="E548" s="6" t="s">
        <v>404</v>
      </c>
      <c r="F548" s="5">
        <f>VLOOKUP(E548,'PESOS SUBGRUPOS'!B$2:C$193,2,FALSE)</f>
        <v>10</v>
      </c>
      <c r="G548" s="6" t="s">
        <v>396</v>
      </c>
      <c r="H548" s="7" t="s">
        <v>15</v>
      </c>
      <c r="I548" s="5">
        <v>20</v>
      </c>
      <c r="M548" s="5" t="s">
        <v>500</v>
      </c>
    </row>
    <row r="549" spans="1:13" x14ac:dyDescent="0.25">
      <c r="A549" s="4">
        <v>680</v>
      </c>
      <c r="B549" s="5" t="s">
        <v>11</v>
      </c>
      <c r="C549" s="6" t="s">
        <v>381</v>
      </c>
      <c r="D549" s="5">
        <f>VLOOKUP(C549,'PESO GRUPO'!A$1:B$9,2,FALSE)</f>
        <v>20</v>
      </c>
      <c r="E549" s="6" t="s">
        <v>404</v>
      </c>
      <c r="F549" s="5">
        <f>VLOOKUP(E549,'PESOS SUBGRUPOS'!B$2:C$193,2,FALSE)</f>
        <v>10</v>
      </c>
      <c r="G549" s="6" t="s">
        <v>397</v>
      </c>
      <c r="H549" s="7" t="s">
        <v>15</v>
      </c>
      <c r="I549" s="5">
        <v>20</v>
      </c>
      <c r="M549" s="5" t="s">
        <v>500</v>
      </c>
    </row>
    <row r="550" spans="1:13" x14ac:dyDescent="0.25">
      <c r="A550" s="4">
        <v>681</v>
      </c>
      <c r="B550" s="5" t="s">
        <v>11</v>
      </c>
      <c r="C550" s="6" t="s">
        <v>381</v>
      </c>
      <c r="D550" s="5">
        <f>VLOOKUP(C550,'PESO GRUPO'!A$1:B$9,2,FALSE)</f>
        <v>20</v>
      </c>
      <c r="E550" s="6" t="s">
        <v>404</v>
      </c>
      <c r="F550" s="5">
        <f>VLOOKUP(E550,'PESOS SUBGRUPOS'!B$2:C$193,2,FALSE)</f>
        <v>10</v>
      </c>
      <c r="G550" s="6" t="s">
        <v>398</v>
      </c>
      <c r="H550" s="7" t="s">
        <v>15</v>
      </c>
      <c r="I550" s="5">
        <v>10</v>
      </c>
      <c r="M550" s="5" t="s">
        <v>500</v>
      </c>
    </row>
    <row r="551" spans="1:13" x14ac:dyDescent="0.25">
      <c r="A551" s="4">
        <v>682</v>
      </c>
      <c r="B551" s="5" t="s">
        <v>11</v>
      </c>
      <c r="C551" s="6" t="s">
        <v>381</v>
      </c>
      <c r="D551" s="5">
        <f>VLOOKUP(C551,'PESO GRUPO'!A$1:B$9,2,FALSE)</f>
        <v>20</v>
      </c>
      <c r="E551" s="6" t="s">
        <v>404</v>
      </c>
      <c r="F551" s="5">
        <f>VLOOKUP(E551,'PESOS SUBGRUPOS'!B$2:C$193,2,FALSE)</f>
        <v>10</v>
      </c>
      <c r="G551" s="6" t="s">
        <v>399</v>
      </c>
      <c r="H551" s="7" t="s">
        <v>15</v>
      </c>
      <c r="I551" s="5">
        <v>10</v>
      </c>
      <c r="M551" s="5" t="s">
        <v>500</v>
      </c>
    </row>
    <row r="552" spans="1:13" x14ac:dyDescent="0.25">
      <c r="A552" s="4">
        <v>683</v>
      </c>
      <c r="B552" s="5" t="s">
        <v>11</v>
      </c>
      <c r="C552" s="6" t="s">
        <v>381</v>
      </c>
      <c r="D552" s="5">
        <f>VLOOKUP(C552,'PESO GRUPO'!A$1:B$9,2,FALSE)</f>
        <v>20</v>
      </c>
      <c r="E552" s="6" t="s">
        <v>404</v>
      </c>
      <c r="F552" s="5">
        <f>VLOOKUP(E552,'PESOS SUBGRUPOS'!B$2:C$193,2,FALSE)</f>
        <v>10</v>
      </c>
      <c r="G552" s="6" t="s">
        <v>400</v>
      </c>
      <c r="H552" s="7" t="s">
        <v>15</v>
      </c>
      <c r="I552" s="5">
        <v>10</v>
      </c>
      <c r="M552" s="5" t="s">
        <v>500</v>
      </c>
    </row>
    <row r="553" spans="1:13" x14ac:dyDescent="0.25">
      <c r="A553" s="4">
        <v>684</v>
      </c>
      <c r="B553" s="5" t="s">
        <v>11</v>
      </c>
      <c r="C553" s="6" t="s">
        <v>381</v>
      </c>
      <c r="D553" s="5">
        <f>VLOOKUP(C553,'PESO GRUPO'!A$1:B$9,2,FALSE)</f>
        <v>20</v>
      </c>
      <c r="E553" s="6" t="s">
        <v>404</v>
      </c>
      <c r="F553" s="5">
        <f>VLOOKUP(E553,'PESOS SUBGRUPOS'!B$2:C$193,2,FALSE)</f>
        <v>10</v>
      </c>
      <c r="G553" s="6" t="s">
        <v>401</v>
      </c>
      <c r="H553" s="7" t="s">
        <v>15</v>
      </c>
      <c r="I553" s="5">
        <v>10</v>
      </c>
      <c r="M553" s="5" t="s">
        <v>500</v>
      </c>
    </row>
    <row r="554" spans="1:13" x14ac:dyDescent="0.25">
      <c r="A554" s="4">
        <v>685</v>
      </c>
      <c r="B554" s="5" t="s">
        <v>16</v>
      </c>
      <c r="C554" s="6" t="s">
        <v>381</v>
      </c>
      <c r="D554" s="5">
        <f>VLOOKUP(C554,'PESO GRUPO'!A$1:B$9,2,FALSE)</f>
        <v>20</v>
      </c>
      <c r="E554" s="6" t="s">
        <v>405</v>
      </c>
      <c r="F554" s="5">
        <f>VLOOKUP(E554,'PESOS SUBGRUPOS'!B$2:C$193,2,FALSE)</f>
        <v>10</v>
      </c>
      <c r="G554" s="6" t="s">
        <v>383</v>
      </c>
      <c r="H554" s="7" t="s">
        <v>15</v>
      </c>
      <c r="I554" s="5">
        <v>0</v>
      </c>
      <c r="M554" s="5" t="s">
        <v>500</v>
      </c>
    </row>
    <row r="555" spans="1:13" x14ac:dyDescent="0.25">
      <c r="A555" s="4">
        <v>686</v>
      </c>
      <c r="B555" s="5" t="s">
        <v>11</v>
      </c>
      <c r="C555" s="6" t="s">
        <v>381</v>
      </c>
      <c r="D555" s="5">
        <f>VLOOKUP(C555,'PESO GRUPO'!A$1:B$9,2,FALSE)</f>
        <v>20</v>
      </c>
      <c r="E555" s="6" t="s">
        <v>405</v>
      </c>
      <c r="F555" s="5">
        <f>VLOOKUP(E555,'PESOS SUBGRUPOS'!B$2:C$193,2,FALSE)</f>
        <v>10</v>
      </c>
      <c r="G555" s="6" t="s">
        <v>384</v>
      </c>
      <c r="H555" s="7" t="s">
        <v>15</v>
      </c>
      <c r="I555" s="5">
        <v>10</v>
      </c>
      <c r="M555" s="5" t="s">
        <v>500</v>
      </c>
    </row>
    <row r="556" spans="1:13" x14ac:dyDescent="0.25">
      <c r="A556" s="4">
        <v>687</v>
      </c>
      <c r="B556" s="5" t="s">
        <v>11</v>
      </c>
      <c r="C556" s="6" t="s">
        <v>381</v>
      </c>
      <c r="D556" s="5">
        <f>VLOOKUP(C556,'PESO GRUPO'!A$1:B$9,2,FALSE)</f>
        <v>20</v>
      </c>
      <c r="E556" s="6" t="s">
        <v>405</v>
      </c>
      <c r="F556" s="5">
        <f>VLOOKUP(E556,'PESOS SUBGRUPOS'!B$2:C$193,2,FALSE)</f>
        <v>10</v>
      </c>
      <c r="G556" s="6" t="s">
        <v>385</v>
      </c>
      <c r="H556" s="7" t="s">
        <v>15</v>
      </c>
      <c r="I556" s="5">
        <v>20</v>
      </c>
      <c r="M556" s="5" t="s">
        <v>500</v>
      </c>
    </row>
    <row r="557" spans="1:13" x14ac:dyDescent="0.25">
      <c r="A557" s="4">
        <v>688</v>
      </c>
      <c r="B557" s="5" t="s">
        <v>11</v>
      </c>
      <c r="C557" s="6" t="s">
        <v>381</v>
      </c>
      <c r="D557" s="5">
        <f>VLOOKUP(C557,'PESO GRUPO'!A$1:B$9,2,FALSE)</f>
        <v>20</v>
      </c>
      <c r="E557" s="6" t="s">
        <v>405</v>
      </c>
      <c r="F557" s="5">
        <f>VLOOKUP(E557,'PESOS SUBGRUPOS'!B$2:C$193,2,FALSE)</f>
        <v>10</v>
      </c>
      <c r="G557" s="6" t="s">
        <v>386</v>
      </c>
      <c r="H557" s="7" t="s">
        <v>15</v>
      </c>
      <c r="I557" s="5">
        <v>30</v>
      </c>
      <c r="M557" s="5" t="s">
        <v>500</v>
      </c>
    </row>
    <row r="558" spans="1:13" x14ac:dyDescent="0.25">
      <c r="A558" s="4">
        <v>689</v>
      </c>
      <c r="B558" s="5" t="s">
        <v>11</v>
      </c>
      <c r="C558" s="6" t="s">
        <v>381</v>
      </c>
      <c r="D558" s="5">
        <f>VLOOKUP(C558,'PESO GRUPO'!A$1:B$9,2,FALSE)</f>
        <v>20</v>
      </c>
      <c r="E558" s="6" t="s">
        <v>405</v>
      </c>
      <c r="F558" s="5">
        <f>VLOOKUP(E558,'PESOS SUBGRUPOS'!B$2:C$193,2,FALSE)</f>
        <v>10</v>
      </c>
      <c r="G558" s="6" t="s">
        <v>387</v>
      </c>
      <c r="H558" s="7" t="s">
        <v>15</v>
      </c>
      <c r="I558" s="5">
        <v>30</v>
      </c>
      <c r="M558" s="5" t="s">
        <v>500</v>
      </c>
    </row>
    <row r="559" spans="1:13" x14ac:dyDescent="0.25">
      <c r="A559" s="4">
        <v>690</v>
      </c>
      <c r="B559" s="5" t="s">
        <v>11</v>
      </c>
      <c r="C559" s="6" t="s">
        <v>381</v>
      </c>
      <c r="D559" s="5">
        <f>VLOOKUP(C559,'PESO GRUPO'!A$1:B$9,2,FALSE)</f>
        <v>20</v>
      </c>
      <c r="E559" s="6" t="s">
        <v>405</v>
      </c>
      <c r="F559" s="5">
        <f>VLOOKUP(E559,'PESOS SUBGRUPOS'!B$2:C$193,2,FALSE)</f>
        <v>10</v>
      </c>
      <c r="G559" s="6" t="s">
        <v>370</v>
      </c>
      <c r="H559" s="7" t="s">
        <v>15</v>
      </c>
      <c r="I559" s="5">
        <v>20</v>
      </c>
      <c r="M559" s="5" t="s">
        <v>500</v>
      </c>
    </row>
    <row r="560" spans="1:13" x14ac:dyDescent="0.25">
      <c r="A560" s="4">
        <v>691</v>
      </c>
      <c r="B560" s="5" t="s">
        <v>11</v>
      </c>
      <c r="C560" s="6" t="s">
        <v>381</v>
      </c>
      <c r="D560" s="5">
        <f>VLOOKUP(C560,'PESO GRUPO'!A$1:B$9,2,FALSE)</f>
        <v>20</v>
      </c>
      <c r="E560" s="6" t="s">
        <v>405</v>
      </c>
      <c r="F560" s="5">
        <f>VLOOKUP(E560,'PESOS SUBGRUPOS'!B$2:C$193,2,FALSE)</f>
        <v>10</v>
      </c>
      <c r="G560" s="6" t="s">
        <v>388</v>
      </c>
      <c r="H560" s="7" t="s">
        <v>15</v>
      </c>
      <c r="I560" s="5">
        <v>10</v>
      </c>
      <c r="M560" s="5" t="s">
        <v>500</v>
      </c>
    </row>
    <row r="561" spans="1:13" x14ac:dyDescent="0.25">
      <c r="A561" s="4">
        <v>692</v>
      </c>
      <c r="B561" s="5" t="s">
        <v>11</v>
      </c>
      <c r="C561" s="6" t="s">
        <v>381</v>
      </c>
      <c r="D561" s="5">
        <f>VLOOKUP(C561,'PESO GRUPO'!A$1:B$9,2,FALSE)</f>
        <v>20</v>
      </c>
      <c r="E561" s="6" t="s">
        <v>405</v>
      </c>
      <c r="F561" s="5">
        <f>VLOOKUP(E561,'PESOS SUBGRUPOS'!B$2:C$193,2,FALSE)</f>
        <v>10</v>
      </c>
      <c r="G561" s="6" t="s">
        <v>389</v>
      </c>
      <c r="H561" s="7" t="s">
        <v>15</v>
      </c>
      <c r="I561" s="5">
        <v>10</v>
      </c>
      <c r="M561" s="5" t="s">
        <v>500</v>
      </c>
    </row>
    <row r="562" spans="1:13" x14ac:dyDescent="0.25">
      <c r="A562" s="4">
        <v>693</v>
      </c>
      <c r="B562" s="5" t="s">
        <v>11</v>
      </c>
      <c r="C562" s="6" t="s">
        <v>381</v>
      </c>
      <c r="D562" s="5">
        <f>VLOOKUP(C562,'PESO GRUPO'!A$1:B$9,2,FALSE)</f>
        <v>20</v>
      </c>
      <c r="E562" s="6" t="s">
        <v>405</v>
      </c>
      <c r="F562" s="5">
        <f>VLOOKUP(E562,'PESOS SUBGRUPOS'!B$2:C$193,2,FALSE)</f>
        <v>10</v>
      </c>
      <c r="G562" s="6" t="s">
        <v>390</v>
      </c>
      <c r="H562" s="7" t="s">
        <v>15</v>
      </c>
      <c r="I562" s="5">
        <v>10</v>
      </c>
      <c r="M562" s="5" t="s">
        <v>500</v>
      </c>
    </row>
    <row r="563" spans="1:13" x14ac:dyDescent="0.25">
      <c r="A563" s="4">
        <v>694</v>
      </c>
      <c r="B563" s="5" t="s">
        <v>11</v>
      </c>
      <c r="C563" s="6" t="s">
        <v>381</v>
      </c>
      <c r="D563" s="5">
        <f>VLOOKUP(C563,'PESO GRUPO'!A$1:B$9,2,FALSE)</f>
        <v>20</v>
      </c>
      <c r="E563" s="6" t="s">
        <v>405</v>
      </c>
      <c r="F563" s="5">
        <f>VLOOKUP(E563,'PESOS SUBGRUPOS'!B$2:C$193,2,FALSE)</f>
        <v>10</v>
      </c>
      <c r="G563" s="6" t="s">
        <v>471</v>
      </c>
      <c r="H563" s="7" t="s">
        <v>15</v>
      </c>
      <c r="I563" s="5">
        <v>10</v>
      </c>
      <c r="M563" s="5" t="s">
        <v>500</v>
      </c>
    </row>
    <row r="564" spans="1:13" x14ac:dyDescent="0.25">
      <c r="A564" s="4">
        <v>695</v>
      </c>
      <c r="B564" s="5" t="s">
        <v>11</v>
      </c>
      <c r="C564" s="6" t="s">
        <v>381</v>
      </c>
      <c r="D564" s="5">
        <f>VLOOKUP(C564,'PESO GRUPO'!A$1:B$9,2,FALSE)</f>
        <v>20</v>
      </c>
      <c r="E564" s="6" t="s">
        <v>405</v>
      </c>
      <c r="F564" s="5">
        <f>VLOOKUP(E564,'PESOS SUBGRUPOS'!B$2:C$193,2,FALSE)</f>
        <v>10</v>
      </c>
      <c r="G564" s="6" t="s">
        <v>391</v>
      </c>
      <c r="H564" s="7" t="s">
        <v>15</v>
      </c>
      <c r="I564" s="5">
        <v>10</v>
      </c>
      <c r="M564" s="5" t="s">
        <v>500</v>
      </c>
    </row>
    <row r="565" spans="1:13" x14ac:dyDescent="0.25">
      <c r="A565" s="4">
        <v>696</v>
      </c>
      <c r="B565" s="5" t="s">
        <v>11</v>
      </c>
      <c r="C565" s="6" t="s">
        <v>381</v>
      </c>
      <c r="D565" s="5">
        <f>VLOOKUP(C565,'PESO GRUPO'!A$1:B$9,2,FALSE)</f>
        <v>20</v>
      </c>
      <c r="E565" s="6" t="s">
        <v>405</v>
      </c>
      <c r="F565" s="5">
        <f>VLOOKUP(E565,'PESOS SUBGRUPOS'!B$2:C$193,2,FALSE)</f>
        <v>10</v>
      </c>
      <c r="G565" s="6" t="s">
        <v>392</v>
      </c>
      <c r="H565" s="7" t="s">
        <v>15</v>
      </c>
      <c r="I565" s="5">
        <v>10</v>
      </c>
      <c r="M565" s="5" t="s">
        <v>500</v>
      </c>
    </row>
    <row r="566" spans="1:13" x14ac:dyDescent="0.25">
      <c r="A566" s="4">
        <v>697</v>
      </c>
      <c r="B566" s="5" t="s">
        <v>11</v>
      </c>
      <c r="C566" s="6" t="s">
        <v>381</v>
      </c>
      <c r="D566" s="5">
        <f>VLOOKUP(C566,'PESO GRUPO'!A$1:B$9,2,FALSE)</f>
        <v>20</v>
      </c>
      <c r="E566" s="6" t="s">
        <v>405</v>
      </c>
      <c r="F566" s="5">
        <f>VLOOKUP(E566,'PESOS SUBGRUPOS'!B$2:C$193,2,FALSE)</f>
        <v>10</v>
      </c>
      <c r="G566" s="6" t="s">
        <v>337</v>
      </c>
      <c r="H566" s="7" t="s">
        <v>15</v>
      </c>
      <c r="I566" s="5">
        <v>30</v>
      </c>
      <c r="M566" s="5" t="s">
        <v>500</v>
      </c>
    </row>
    <row r="567" spans="1:13" x14ac:dyDescent="0.25">
      <c r="A567" s="4">
        <v>698</v>
      </c>
      <c r="B567" s="5" t="s">
        <v>11</v>
      </c>
      <c r="C567" s="6" t="s">
        <v>381</v>
      </c>
      <c r="D567" s="5">
        <f>VLOOKUP(C567,'PESO GRUPO'!A$1:B$9,2,FALSE)</f>
        <v>20</v>
      </c>
      <c r="E567" s="6" t="s">
        <v>405</v>
      </c>
      <c r="F567" s="5">
        <f>VLOOKUP(E567,'PESOS SUBGRUPOS'!B$2:C$193,2,FALSE)</f>
        <v>10</v>
      </c>
      <c r="G567" s="6" t="s">
        <v>393</v>
      </c>
      <c r="H567" s="7" t="s">
        <v>15</v>
      </c>
      <c r="I567" s="5">
        <v>10</v>
      </c>
      <c r="M567" s="5" t="s">
        <v>500</v>
      </c>
    </row>
    <row r="568" spans="1:13" x14ac:dyDescent="0.25">
      <c r="A568" s="4">
        <v>699</v>
      </c>
      <c r="B568" s="5" t="s">
        <v>11</v>
      </c>
      <c r="C568" s="6" t="s">
        <v>381</v>
      </c>
      <c r="D568" s="5">
        <f>VLOOKUP(C568,'PESO GRUPO'!A$1:B$9,2,FALSE)</f>
        <v>20</v>
      </c>
      <c r="E568" s="6" t="s">
        <v>405</v>
      </c>
      <c r="F568" s="5">
        <f>VLOOKUP(E568,'PESOS SUBGRUPOS'!B$2:C$193,2,FALSE)</f>
        <v>10</v>
      </c>
      <c r="G568" s="6" t="s">
        <v>394</v>
      </c>
      <c r="H568" s="7" t="s">
        <v>15</v>
      </c>
      <c r="I568" s="5">
        <v>30</v>
      </c>
      <c r="M568" s="5" t="s">
        <v>500</v>
      </c>
    </row>
    <row r="569" spans="1:13" x14ac:dyDescent="0.25">
      <c r="A569" s="4">
        <v>700</v>
      </c>
      <c r="B569" s="5" t="s">
        <v>11</v>
      </c>
      <c r="C569" s="6" t="s">
        <v>381</v>
      </c>
      <c r="D569" s="5">
        <f>VLOOKUP(C569,'PESO GRUPO'!A$1:B$9,2,FALSE)</f>
        <v>20</v>
      </c>
      <c r="E569" s="6" t="s">
        <v>405</v>
      </c>
      <c r="F569" s="5">
        <f>VLOOKUP(E569,'PESOS SUBGRUPOS'!B$2:C$193,2,FALSE)</f>
        <v>10</v>
      </c>
      <c r="G569" s="6" t="s">
        <v>395</v>
      </c>
      <c r="H569" s="7" t="s">
        <v>15</v>
      </c>
      <c r="I569" s="5">
        <v>10</v>
      </c>
      <c r="M569" s="5" t="s">
        <v>500</v>
      </c>
    </row>
    <row r="570" spans="1:13" x14ac:dyDescent="0.25">
      <c r="A570" s="4">
        <v>701</v>
      </c>
      <c r="B570" s="5" t="s">
        <v>11</v>
      </c>
      <c r="C570" s="6" t="s">
        <v>381</v>
      </c>
      <c r="D570" s="5">
        <f>VLOOKUP(C570,'PESO GRUPO'!A$1:B$9,2,FALSE)</f>
        <v>20</v>
      </c>
      <c r="E570" s="6" t="s">
        <v>405</v>
      </c>
      <c r="F570" s="5">
        <f>VLOOKUP(E570,'PESOS SUBGRUPOS'!B$2:C$193,2,FALSE)</f>
        <v>10</v>
      </c>
      <c r="G570" s="6" t="s">
        <v>396</v>
      </c>
      <c r="H570" s="7" t="s">
        <v>15</v>
      </c>
      <c r="I570" s="5">
        <v>20</v>
      </c>
      <c r="M570" s="5" t="s">
        <v>500</v>
      </c>
    </row>
    <row r="571" spans="1:13" x14ac:dyDescent="0.25">
      <c r="A571" s="4">
        <v>702</v>
      </c>
      <c r="B571" s="5" t="s">
        <v>11</v>
      </c>
      <c r="C571" s="6" t="s">
        <v>381</v>
      </c>
      <c r="D571" s="5">
        <f>VLOOKUP(C571,'PESO GRUPO'!A$1:B$9,2,FALSE)</f>
        <v>20</v>
      </c>
      <c r="E571" s="6" t="s">
        <v>405</v>
      </c>
      <c r="F571" s="5">
        <f>VLOOKUP(E571,'PESOS SUBGRUPOS'!B$2:C$193,2,FALSE)</f>
        <v>10</v>
      </c>
      <c r="G571" s="6" t="s">
        <v>397</v>
      </c>
      <c r="H571" s="7" t="s">
        <v>15</v>
      </c>
      <c r="I571" s="5">
        <v>20</v>
      </c>
      <c r="M571" s="5" t="s">
        <v>500</v>
      </c>
    </row>
    <row r="572" spans="1:13" x14ac:dyDescent="0.25">
      <c r="A572" s="4">
        <v>703</v>
      </c>
      <c r="B572" s="5" t="s">
        <v>11</v>
      </c>
      <c r="C572" s="6" t="s">
        <v>381</v>
      </c>
      <c r="D572" s="5">
        <f>VLOOKUP(C572,'PESO GRUPO'!A$1:B$9,2,FALSE)</f>
        <v>20</v>
      </c>
      <c r="E572" s="6" t="s">
        <v>405</v>
      </c>
      <c r="F572" s="5">
        <f>VLOOKUP(E572,'PESOS SUBGRUPOS'!B$2:C$193,2,FALSE)</f>
        <v>10</v>
      </c>
      <c r="G572" s="6" t="s">
        <v>398</v>
      </c>
      <c r="H572" s="7" t="s">
        <v>15</v>
      </c>
      <c r="I572" s="5">
        <v>10</v>
      </c>
      <c r="M572" s="5" t="s">
        <v>500</v>
      </c>
    </row>
    <row r="573" spans="1:13" x14ac:dyDescent="0.25">
      <c r="A573" s="4">
        <v>704</v>
      </c>
      <c r="B573" s="5" t="s">
        <v>11</v>
      </c>
      <c r="C573" s="6" t="s">
        <v>381</v>
      </c>
      <c r="D573" s="5">
        <f>VLOOKUP(C573,'PESO GRUPO'!A$1:B$9,2,FALSE)</f>
        <v>20</v>
      </c>
      <c r="E573" s="6" t="s">
        <v>405</v>
      </c>
      <c r="F573" s="5">
        <f>VLOOKUP(E573,'PESOS SUBGRUPOS'!B$2:C$193,2,FALSE)</f>
        <v>10</v>
      </c>
      <c r="G573" s="6" t="s">
        <v>399</v>
      </c>
      <c r="H573" s="7" t="s">
        <v>15</v>
      </c>
      <c r="I573" s="5">
        <v>10</v>
      </c>
      <c r="M573" s="5" t="s">
        <v>500</v>
      </c>
    </row>
    <row r="574" spans="1:13" x14ac:dyDescent="0.25">
      <c r="A574" s="4">
        <v>705</v>
      </c>
      <c r="B574" s="5" t="s">
        <v>11</v>
      </c>
      <c r="C574" s="6" t="s">
        <v>381</v>
      </c>
      <c r="D574" s="5">
        <f>VLOOKUP(C574,'PESO GRUPO'!A$1:B$9,2,FALSE)</f>
        <v>20</v>
      </c>
      <c r="E574" s="6" t="s">
        <v>405</v>
      </c>
      <c r="F574" s="5">
        <f>VLOOKUP(E574,'PESOS SUBGRUPOS'!B$2:C$193,2,FALSE)</f>
        <v>10</v>
      </c>
      <c r="G574" s="6" t="s">
        <v>400</v>
      </c>
      <c r="H574" s="7" t="s">
        <v>15</v>
      </c>
      <c r="I574" s="5">
        <v>10</v>
      </c>
      <c r="M574" s="5" t="s">
        <v>500</v>
      </c>
    </row>
    <row r="575" spans="1:13" x14ac:dyDescent="0.25">
      <c r="A575" s="4">
        <v>706</v>
      </c>
      <c r="B575" s="5" t="s">
        <v>11</v>
      </c>
      <c r="C575" s="6" t="s">
        <v>381</v>
      </c>
      <c r="D575" s="5">
        <f>VLOOKUP(C575,'PESO GRUPO'!A$1:B$9,2,FALSE)</f>
        <v>20</v>
      </c>
      <c r="E575" s="6" t="s">
        <v>405</v>
      </c>
      <c r="F575" s="5">
        <f>VLOOKUP(E575,'PESOS SUBGRUPOS'!B$2:C$193,2,FALSE)</f>
        <v>10</v>
      </c>
      <c r="G575" s="6" t="s">
        <v>401</v>
      </c>
      <c r="H575" s="7" t="s">
        <v>15</v>
      </c>
      <c r="I575" s="5">
        <v>10</v>
      </c>
      <c r="M575" s="5" t="s">
        <v>500</v>
      </c>
    </row>
    <row r="576" spans="1:13" x14ac:dyDescent="0.25">
      <c r="A576" s="4">
        <v>707</v>
      </c>
      <c r="B576" s="5" t="s">
        <v>16</v>
      </c>
      <c r="C576" s="6" t="s">
        <v>381</v>
      </c>
      <c r="D576" s="5">
        <f>VLOOKUP(C576,'PESO GRUPO'!A$1:B$9,2,FALSE)</f>
        <v>20</v>
      </c>
      <c r="E576" s="6" t="s">
        <v>406</v>
      </c>
      <c r="F576" s="5">
        <f>VLOOKUP(E576,'PESOS SUBGRUPOS'!B$2:C$193,2,FALSE)</f>
        <v>10</v>
      </c>
      <c r="G576" s="6" t="s">
        <v>383</v>
      </c>
      <c r="H576" s="7" t="s">
        <v>15</v>
      </c>
      <c r="I576" s="5">
        <v>0</v>
      </c>
      <c r="M576" s="5" t="s">
        <v>500</v>
      </c>
    </row>
    <row r="577" spans="1:13" x14ac:dyDescent="0.25">
      <c r="A577" s="4">
        <v>708</v>
      </c>
      <c r="B577" s="5" t="s">
        <v>11</v>
      </c>
      <c r="C577" s="6" t="s">
        <v>381</v>
      </c>
      <c r="D577" s="5">
        <f>VLOOKUP(C577,'PESO GRUPO'!A$1:B$9,2,FALSE)</f>
        <v>20</v>
      </c>
      <c r="E577" s="6" t="s">
        <v>406</v>
      </c>
      <c r="F577" s="5">
        <f>VLOOKUP(E577,'PESOS SUBGRUPOS'!B$2:C$193,2,FALSE)</f>
        <v>10</v>
      </c>
      <c r="G577" s="6" t="s">
        <v>384</v>
      </c>
      <c r="H577" s="7" t="s">
        <v>15</v>
      </c>
      <c r="I577" s="5">
        <v>10</v>
      </c>
      <c r="M577" s="5" t="s">
        <v>500</v>
      </c>
    </row>
    <row r="578" spans="1:13" x14ac:dyDescent="0.25">
      <c r="A578" s="4">
        <v>709</v>
      </c>
      <c r="B578" s="5" t="s">
        <v>11</v>
      </c>
      <c r="C578" s="6" t="s">
        <v>381</v>
      </c>
      <c r="D578" s="5">
        <f>VLOOKUP(C578,'PESO GRUPO'!A$1:B$9,2,FALSE)</f>
        <v>20</v>
      </c>
      <c r="E578" s="6" t="s">
        <v>406</v>
      </c>
      <c r="F578" s="5">
        <f>VLOOKUP(E578,'PESOS SUBGRUPOS'!B$2:C$193,2,FALSE)</f>
        <v>10</v>
      </c>
      <c r="G578" s="6" t="s">
        <v>385</v>
      </c>
      <c r="H578" s="7" t="s">
        <v>15</v>
      </c>
      <c r="I578" s="5">
        <v>20</v>
      </c>
      <c r="M578" s="5" t="s">
        <v>500</v>
      </c>
    </row>
    <row r="579" spans="1:13" x14ac:dyDescent="0.25">
      <c r="A579" s="4">
        <v>710</v>
      </c>
      <c r="B579" s="5" t="s">
        <v>11</v>
      </c>
      <c r="C579" s="6" t="s">
        <v>381</v>
      </c>
      <c r="D579" s="5">
        <f>VLOOKUP(C579,'PESO GRUPO'!A$1:B$9,2,FALSE)</f>
        <v>20</v>
      </c>
      <c r="E579" s="6" t="s">
        <v>406</v>
      </c>
      <c r="F579" s="5">
        <f>VLOOKUP(E579,'PESOS SUBGRUPOS'!B$2:C$193,2,FALSE)</f>
        <v>10</v>
      </c>
      <c r="G579" s="6" t="s">
        <v>386</v>
      </c>
      <c r="H579" s="7" t="s">
        <v>15</v>
      </c>
      <c r="I579" s="5">
        <v>30</v>
      </c>
      <c r="M579" s="5" t="s">
        <v>500</v>
      </c>
    </row>
    <row r="580" spans="1:13" x14ac:dyDescent="0.25">
      <c r="A580" s="4">
        <v>711</v>
      </c>
      <c r="B580" s="5" t="s">
        <v>11</v>
      </c>
      <c r="C580" s="6" t="s">
        <v>381</v>
      </c>
      <c r="D580" s="5">
        <f>VLOOKUP(C580,'PESO GRUPO'!A$1:B$9,2,FALSE)</f>
        <v>20</v>
      </c>
      <c r="E580" s="6" t="s">
        <v>406</v>
      </c>
      <c r="F580" s="5">
        <f>VLOOKUP(E580,'PESOS SUBGRUPOS'!B$2:C$193,2,FALSE)</f>
        <v>10</v>
      </c>
      <c r="G580" s="6" t="s">
        <v>387</v>
      </c>
      <c r="H580" s="7" t="s">
        <v>15</v>
      </c>
      <c r="I580" s="5">
        <v>30</v>
      </c>
      <c r="M580" s="5" t="s">
        <v>500</v>
      </c>
    </row>
    <row r="581" spans="1:13" x14ac:dyDescent="0.25">
      <c r="A581" s="4">
        <v>712</v>
      </c>
      <c r="B581" s="5" t="s">
        <v>11</v>
      </c>
      <c r="C581" s="6" t="s">
        <v>381</v>
      </c>
      <c r="D581" s="5">
        <f>VLOOKUP(C581,'PESO GRUPO'!A$1:B$9,2,FALSE)</f>
        <v>20</v>
      </c>
      <c r="E581" s="6" t="s">
        <v>406</v>
      </c>
      <c r="F581" s="5">
        <f>VLOOKUP(E581,'PESOS SUBGRUPOS'!B$2:C$193,2,FALSE)</f>
        <v>10</v>
      </c>
      <c r="G581" s="6" t="s">
        <v>370</v>
      </c>
      <c r="H581" s="7" t="s">
        <v>15</v>
      </c>
      <c r="I581" s="5">
        <v>20</v>
      </c>
      <c r="M581" s="5" t="s">
        <v>500</v>
      </c>
    </row>
    <row r="582" spans="1:13" x14ac:dyDescent="0.25">
      <c r="A582" s="4">
        <v>713</v>
      </c>
      <c r="B582" s="5" t="s">
        <v>11</v>
      </c>
      <c r="C582" s="6" t="s">
        <v>381</v>
      </c>
      <c r="D582" s="5">
        <f>VLOOKUP(C582,'PESO GRUPO'!A$1:B$9,2,FALSE)</f>
        <v>20</v>
      </c>
      <c r="E582" s="6" t="s">
        <v>406</v>
      </c>
      <c r="F582" s="5">
        <f>VLOOKUP(E582,'PESOS SUBGRUPOS'!B$2:C$193,2,FALSE)</f>
        <v>10</v>
      </c>
      <c r="G582" s="6" t="s">
        <v>388</v>
      </c>
      <c r="H582" s="7" t="s">
        <v>15</v>
      </c>
      <c r="I582" s="5">
        <v>10</v>
      </c>
      <c r="M582" s="5" t="s">
        <v>500</v>
      </c>
    </row>
    <row r="583" spans="1:13" x14ac:dyDescent="0.25">
      <c r="A583" s="4">
        <v>714</v>
      </c>
      <c r="B583" s="5" t="s">
        <v>11</v>
      </c>
      <c r="C583" s="6" t="s">
        <v>381</v>
      </c>
      <c r="D583" s="5">
        <f>VLOOKUP(C583,'PESO GRUPO'!A$1:B$9,2,FALSE)</f>
        <v>20</v>
      </c>
      <c r="E583" s="6" t="s">
        <v>406</v>
      </c>
      <c r="F583" s="5">
        <f>VLOOKUP(E583,'PESOS SUBGRUPOS'!B$2:C$193,2,FALSE)</f>
        <v>10</v>
      </c>
      <c r="G583" s="6" t="s">
        <v>389</v>
      </c>
      <c r="H583" s="7" t="s">
        <v>15</v>
      </c>
      <c r="I583" s="5">
        <v>10</v>
      </c>
      <c r="M583" s="5" t="s">
        <v>500</v>
      </c>
    </row>
    <row r="584" spans="1:13" x14ac:dyDescent="0.25">
      <c r="A584" s="4">
        <v>715</v>
      </c>
      <c r="B584" s="5" t="s">
        <v>11</v>
      </c>
      <c r="C584" s="6" t="s">
        <v>381</v>
      </c>
      <c r="D584" s="5">
        <f>VLOOKUP(C584,'PESO GRUPO'!A$1:B$9,2,FALSE)</f>
        <v>20</v>
      </c>
      <c r="E584" s="6" t="s">
        <v>406</v>
      </c>
      <c r="F584" s="5">
        <f>VLOOKUP(E584,'PESOS SUBGRUPOS'!B$2:C$193,2,FALSE)</f>
        <v>10</v>
      </c>
      <c r="G584" s="6" t="s">
        <v>390</v>
      </c>
      <c r="H584" s="7" t="s">
        <v>15</v>
      </c>
      <c r="I584" s="5">
        <v>10</v>
      </c>
      <c r="M584" s="5" t="s">
        <v>500</v>
      </c>
    </row>
    <row r="585" spans="1:13" x14ac:dyDescent="0.25">
      <c r="A585" s="4">
        <v>716</v>
      </c>
      <c r="B585" s="5" t="s">
        <v>11</v>
      </c>
      <c r="C585" s="6" t="s">
        <v>381</v>
      </c>
      <c r="D585" s="5">
        <f>VLOOKUP(C585,'PESO GRUPO'!A$1:B$9,2,FALSE)</f>
        <v>20</v>
      </c>
      <c r="E585" s="6" t="s">
        <v>406</v>
      </c>
      <c r="F585" s="5">
        <f>VLOOKUP(E585,'PESOS SUBGRUPOS'!B$2:C$193,2,FALSE)</f>
        <v>10</v>
      </c>
      <c r="G585" s="6" t="s">
        <v>471</v>
      </c>
      <c r="H585" s="7" t="s">
        <v>15</v>
      </c>
      <c r="I585" s="5">
        <v>10</v>
      </c>
      <c r="M585" s="5" t="s">
        <v>500</v>
      </c>
    </row>
    <row r="586" spans="1:13" x14ac:dyDescent="0.25">
      <c r="A586" s="4">
        <v>717</v>
      </c>
      <c r="B586" s="5" t="s">
        <v>11</v>
      </c>
      <c r="C586" s="6" t="s">
        <v>381</v>
      </c>
      <c r="D586" s="5">
        <f>VLOOKUP(C586,'PESO GRUPO'!A$1:B$9,2,FALSE)</f>
        <v>20</v>
      </c>
      <c r="E586" s="6" t="s">
        <v>406</v>
      </c>
      <c r="F586" s="5">
        <f>VLOOKUP(E586,'PESOS SUBGRUPOS'!B$2:C$193,2,FALSE)</f>
        <v>10</v>
      </c>
      <c r="G586" s="6" t="s">
        <v>391</v>
      </c>
      <c r="H586" s="7" t="s">
        <v>15</v>
      </c>
      <c r="I586" s="5">
        <v>10</v>
      </c>
      <c r="M586" s="5" t="s">
        <v>500</v>
      </c>
    </row>
    <row r="587" spans="1:13" x14ac:dyDescent="0.25">
      <c r="A587" s="4">
        <v>718</v>
      </c>
      <c r="B587" s="5" t="s">
        <v>11</v>
      </c>
      <c r="C587" s="6" t="s">
        <v>381</v>
      </c>
      <c r="D587" s="5">
        <f>VLOOKUP(C587,'PESO GRUPO'!A$1:B$9,2,FALSE)</f>
        <v>20</v>
      </c>
      <c r="E587" s="6" t="s">
        <v>406</v>
      </c>
      <c r="F587" s="5">
        <f>VLOOKUP(E587,'PESOS SUBGRUPOS'!B$2:C$193,2,FALSE)</f>
        <v>10</v>
      </c>
      <c r="G587" s="6" t="s">
        <v>392</v>
      </c>
      <c r="H587" s="7" t="s">
        <v>15</v>
      </c>
      <c r="I587" s="5">
        <v>10</v>
      </c>
      <c r="M587" s="5" t="s">
        <v>500</v>
      </c>
    </row>
    <row r="588" spans="1:13" x14ac:dyDescent="0.25">
      <c r="A588" s="4">
        <v>719</v>
      </c>
      <c r="B588" s="5" t="s">
        <v>11</v>
      </c>
      <c r="C588" s="6" t="s">
        <v>381</v>
      </c>
      <c r="D588" s="5">
        <f>VLOOKUP(C588,'PESO GRUPO'!A$1:B$9,2,FALSE)</f>
        <v>20</v>
      </c>
      <c r="E588" s="6" t="s">
        <v>406</v>
      </c>
      <c r="F588" s="5">
        <f>VLOOKUP(E588,'PESOS SUBGRUPOS'!B$2:C$193,2,FALSE)</f>
        <v>10</v>
      </c>
      <c r="G588" s="6" t="s">
        <v>337</v>
      </c>
      <c r="H588" s="7" t="s">
        <v>15</v>
      </c>
      <c r="I588" s="5">
        <v>30</v>
      </c>
      <c r="M588" s="5" t="s">
        <v>500</v>
      </c>
    </row>
    <row r="589" spans="1:13" x14ac:dyDescent="0.25">
      <c r="A589" s="4">
        <v>720</v>
      </c>
      <c r="B589" s="5" t="s">
        <v>11</v>
      </c>
      <c r="C589" s="6" t="s">
        <v>381</v>
      </c>
      <c r="D589" s="5">
        <f>VLOOKUP(C589,'PESO GRUPO'!A$1:B$9,2,FALSE)</f>
        <v>20</v>
      </c>
      <c r="E589" s="6" t="s">
        <v>406</v>
      </c>
      <c r="F589" s="5">
        <f>VLOOKUP(E589,'PESOS SUBGRUPOS'!B$2:C$193,2,FALSE)</f>
        <v>10</v>
      </c>
      <c r="G589" s="6" t="s">
        <v>393</v>
      </c>
      <c r="H589" s="7" t="s">
        <v>15</v>
      </c>
      <c r="I589" s="5">
        <v>10</v>
      </c>
      <c r="M589" s="5" t="s">
        <v>500</v>
      </c>
    </row>
    <row r="590" spans="1:13" x14ac:dyDescent="0.25">
      <c r="A590" s="4">
        <v>721</v>
      </c>
      <c r="B590" s="5" t="s">
        <v>11</v>
      </c>
      <c r="C590" s="6" t="s">
        <v>381</v>
      </c>
      <c r="D590" s="5">
        <f>VLOOKUP(C590,'PESO GRUPO'!A$1:B$9,2,FALSE)</f>
        <v>20</v>
      </c>
      <c r="E590" s="6" t="s">
        <v>406</v>
      </c>
      <c r="F590" s="5">
        <f>VLOOKUP(E590,'PESOS SUBGRUPOS'!B$2:C$193,2,FALSE)</f>
        <v>10</v>
      </c>
      <c r="G590" s="6" t="s">
        <v>394</v>
      </c>
      <c r="H590" s="7" t="s">
        <v>15</v>
      </c>
      <c r="I590" s="5">
        <v>30</v>
      </c>
      <c r="M590" s="5" t="s">
        <v>500</v>
      </c>
    </row>
    <row r="591" spans="1:13" x14ac:dyDescent="0.25">
      <c r="A591" s="4">
        <v>722</v>
      </c>
      <c r="B591" s="5" t="s">
        <v>11</v>
      </c>
      <c r="C591" s="6" t="s">
        <v>381</v>
      </c>
      <c r="D591" s="5">
        <f>VLOOKUP(C591,'PESO GRUPO'!A$1:B$9,2,FALSE)</f>
        <v>20</v>
      </c>
      <c r="E591" s="6" t="s">
        <v>406</v>
      </c>
      <c r="F591" s="5">
        <f>VLOOKUP(E591,'PESOS SUBGRUPOS'!B$2:C$193,2,FALSE)</f>
        <v>10</v>
      </c>
      <c r="G591" s="6" t="s">
        <v>395</v>
      </c>
      <c r="H591" s="7" t="s">
        <v>15</v>
      </c>
      <c r="I591" s="5">
        <v>10</v>
      </c>
      <c r="M591" s="5" t="s">
        <v>500</v>
      </c>
    </row>
    <row r="592" spans="1:13" x14ac:dyDescent="0.25">
      <c r="A592" s="4">
        <v>723</v>
      </c>
      <c r="B592" s="5" t="s">
        <v>11</v>
      </c>
      <c r="C592" s="6" t="s">
        <v>381</v>
      </c>
      <c r="D592" s="5">
        <f>VLOOKUP(C592,'PESO GRUPO'!A$1:B$9,2,FALSE)</f>
        <v>20</v>
      </c>
      <c r="E592" s="6" t="s">
        <v>406</v>
      </c>
      <c r="F592" s="5">
        <f>VLOOKUP(E592,'PESOS SUBGRUPOS'!B$2:C$193,2,FALSE)</f>
        <v>10</v>
      </c>
      <c r="G592" s="6" t="s">
        <v>396</v>
      </c>
      <c r="H592" s="7" t="s">
        <v>15</v>
      </c>
      <c r="I592" s="5">
        <v>20</v>
      </c>
      <c r="M592" s="5" t="s">
        <v>500</v>
      </c>
    </row>
    <row r="593" spans="1:13" x14ac:dyDescent="0.25">
      <c r="A593" s="4">
        <v>724</v>
      </c>
      <c r="B593" s="5" t="s">
        <v>11</v>
      </c>
      <c r="C593" s="6" t="s">
        <v>381</v>
      </c>
      <c r="D593" s="5">
        <f>VLOOKUP(C593,'PESO GRUPO'!A$1:B$9,2,FALSE)</f>
        <v>20</v>
      </c>
      <c r="E593" s="6" t="s">
        <v>406</v>
      </c>
      <c r="F593" s="5">
        <f>VLOOKUP(E593,'PESOS SUBGRUPOS'!B$2:C$193,2,FALSE)</f>
        <v>10</v>
      </c>
      <c r="G593" s="6" t="s">
        <v>397</v>
      </c>
      <c r="H593" s="7" t="s">
        <v>15</v>
      </c>
      <c r="I593" s="5">
        <v>20</v>
      </c>
      <c r="M593" s="5" t="s">
        <v>500</v>
      </c>
    </row>
    <row r="594" spans="1:13" x14ac:dyDescent="0.25">
      <c r="A594" s="4">
        <v>725</v>
      </c>
      <c r="B594" s="5" t="s">
        <v>11</v>
      </c>
      <c r="C594" s="6" t="s">
        <v>381</v>
      </c>
      <c r="D594" s="5">
        <f>VLOOKUP(C594,'PESO GRUPO'!A$1:B$9,2,FALSE)</f>
        <v>20</v>
      </c>
      <c r="E594" s="6" t="s">
        <v>406</v>
      </c>
      <c r="F594" s="5">
        <f>VLOOKUP(E594,'PESOS SUBGRUPOS'!B$2:C$193,2,FALSE)</f>
        <v>10</v>
      </c>
      <c r="G594" s="6" t="s">
        <v>398</v>
      </c>
      <c r="H594" s="7" t="s">
        <v>15</v>
      </c>
      <c r="I594" s="5">
        <v>10</v>
      </c>
      <c r="M594" s="5" t="s">
        <v>500</v>
      </c>
    </row>
    <row r="595" spans="1:13" x14ac:dyDescent="0.25">
      <c r="A595" s="4">
        <v>726</v>
      </c>
      <c r="B595" s="5" t="s">
        <v>11</v>
      </c>
      <c r="C595" s="6" t="s">
        <v>381</v>
      </c>
      <c r="D595" s="5">
        <f>VLOOKUP(C595,'PESO GRUPO'!A$1:B$9,2,FALSE)</f>
        <v>20</v>
      </c>
      <c r="E595" s="6" t="s">
        <v>406</v>
      </c>
      <c r="F595" s="5">
        <f>VLOOKUP(E595,'PESOS SUBGRUPOS'!B$2:C$193,2,FALSE)</f>
        <v>10</v>
      </c>
      <c r="G595" s="6" t="s">
        <v>399</v>
      </c>
      <c r="H595" s="7" t="s">
        <v>15</v>
      </c>
      <c r="I595" s="5">
        <v>10</v>
      </c>
      <c r="M595" s="5" t="s">
        <v>500</v>
      </c>
    </row>
    <row r="596" spans="1:13" x14ac:dyDescent="0.25">
      <c r="A596" s="4">
        <v>727</v>
      </c>
      <c r="B596" s="5" t="s">
        <v>11</v>
      </c>
      <c r="C596" s="6" t="s">
        <v>381</v>
      </c>
      <c r="D596" s="5">
        <f>VLOOKUP(C596,'PESO GRUPO'!A$1:B$9,2,FALSE)</f>
        <v>20</v>
      </c>
      <c r="E596" s="6" t="s">
        <v>406</v>
      </c>
      <c r="F596" s="5">
        <f>VLOOKUP(E596,'PESOS SUBGRUPOS'!B$2:C$193,2,FALSE)</f>
        <v>10</v>
      </c>
      <c r="G596" s="6" t="s">
        <v>400</v>
      </c>
      <c r="H596" s="7" t="s">
        <v>15</v>
      </c>
      <c r="I596" s="5">
        <v>10</v>
      </c>
      <c r="M596" s="5" t="s">
        <v>500</v>
      </c>
    </row>
    <row r="597" spans="1:13" x14ac:dyDescent="0.25">
      <c r="A597" s="4">
        <v>728</v>
      </c>
      <c r="B597" s="5" t="s">
        <v>11</v>
      </c>
      <c r="C597" s="6" t="s">
        <v>381</v>
      </c>
      <c r="D597" s="5">
        <f>VLOOKUP(C597,'PESO GRUPO'!A$1:B$9,2,FALSE)</f>
        <v>20</v>
      </c>
      <c r="E597" s="6" t="s">
        <v>406</v>
      </c>
      <c r="F597" s="5">
        <f>VLOOKUP(E597,'PESOS SUBGRUPOS'!B$2:C$193,2,FALSE)</f>
        <v>10</v>
      </c>
      <c r="G597" s="6" t="s">
        <v>401</v>
      </c>
      <c r="H597" s="7" t="s">
        <v>15</v>
      </c>
      <c r="I597" s="5">
        <v>10</v>
      </c>
      <c r="M597" s="5" t="s">
        <v>500</v>
      </c>
    </row>
    <row r="598" spans="1:13" x14ac:dyDescent="0.25">
      <c r="A598" s="4">
        <v>729</v>
      </c>
      <c r="B598" s="5" t="s">
        <v>16</v>
      </c>
      <c r="C598" s="6" t="s">
        <v>381</v>
      </c>
      <c r="D598" s="5">
        <f>VLOOKUP(C598,'PESO GRUPO'!A$1:B$9,2,FALSE)</f>
        <v>20</v>
      </c>
      <c r="E598" s="6" t="s">
        <v>407</v>
      </c>
      <c r="F598" s="5">
        <f>VLOOKUP(E598,'PESOS SUBGRUPOS'!B$2:C$193,2,FALSE)</f>
        <v>10</v>
      </c>
      <c r="G598" s="6" t="s">
        <v>383</v>
      </c>
      <c r="H598" s="7" t="s">
        <v>15</v>
      </c>
      <c r="I598" s="5">
        <v>0</v>
      </c>
      <c r="M598" s="5" t="s">
        <v>500</v>
      </c>
    </row>
    <row r="599" spans="1:13" x14ac:dyDescent="0.25">
      <c r="A599" s="4">
        <v>730</v>
      </c>
      <c r="B599" s="5" t="s">
        <v>11</v>
      </c>
      <c r="C599" s="6" t="s">
        <v>381</v>
      </c>
      <c r="D599" s="5">
        <f>VLOOKUP(C599,'PESO GRUPO'!A$1:B$9,2,FALSE)</f>
        <v>20</v>
      </c>
      <c r="E599" s="6" t="s">
        <v>407</v>
      </c>
      <c r="F599" s="5">
        <f>VLOOKUP(E599,'PESOS SUBGRUPOS'!B$2:C$193,2,FALSE)</f>
        <v>10</v>
      </c>
      <c r="G599" s="6" t="s">
        <v>384</v>
      </c>
      <c r="H599" s="7" t="s">
        <v>15</v>
      </c>
      <c r="I599" s="5">
        <v>10</v>
      </c>
      <c r="M599" s="5" t="s">
        <v>500</v>
      </c>
    </row>
    <row r="600" spans="1:13" x14ac:dyDescent="0.25">
      <c r="A600" s="4">
        <v>731</v>
      </c>
      <c r="B600" s="5" t="s">
        <v>11</v>
      </c>
      <c r="C600" s="6" t="s">
        <v>381</v>
      </c>
      <c r="D600" s="5">
        <f>VLOOKUP(C600,'PESO GRUPO'!A$1:B$9,2,FALSE)</f>
        <v>20</v>
      </c>
      <c r="E600" s="6" t="s">
        <v>407</v>
      </c>
      <c r="F600" s="5">
        <f>VLOOKUP(E600,'PESOS SUBGRUPOS'!B$2:C$193,2,FALSE)</f>
        <v>10</v>
      </c>
      <c r="G600" s="6" t="s">
        <v>385</v>
      </c>
      <c r="H600" s="7" t="s">
        <v>15</v>
      </c>
      <c r="I600" s="5">
        <v>20</v>
      </c>
      <c r="M600" s="5" t="s">
        <v>500</v>
      </c>
    </row>
    <row r="601" spans="1:13" x14ac:dyDescent="0.25">
      <c r="A601" s="4">
        <v>732</v>
      </c>
      <c r="B601" s="5" t="s">
        <v>11</v>
      </c>
      <c r="C601" s="6" t="s">
        <v>381</v>
      </c>
      <c r="D601" s="5">
        <f>VLOOKUP(C601,'PESO GRUPO'!A$1:B$9,2,FALSE)</f>
        <v>20</v>
      </c>
      <c r="E601" s="6" t="s">
        <v>407</v>
      </c>
      <c r="F601" s="5">
        <f>VLOOKUP(E601,'PESOS SUBGRUPOS'!B$2:C$193,2,FALSE)</f>
        <v>10</v>
      </c>
      <c r="G601" s="6" t="s">
        <v>386</v>
      </c>
      <c r="H601" s="7" t="s">
        <v>15</v>
      </c>
      <c r="I601" s="5">
        <v>30</v>
      </c>
      <c r="M601" s="5" t="s">
        <v>500</v>
      </c>
    </row>
    <row r="602" spans="1:13" x14ac:dyDescent="0.25">
      <c r="A602" s="4">
        <v>733</v>
      </c>
      <c r="B602" s="5" t="s">
        <v>11</v>
      </c>
      <c r="C602" s="6" t="s">
        <v>381</v>
      </c>
      <c r="D602" s="5">
        <f>VLOOKUP(C602,'PESO GRUPO'!A$1:B$9,2,FALSE)</f>
        <v>20</v>
      </c>
      <c r="E602" s="6" t="s">
        <v>407</v>
      </c>
      <c r="F602" s="5">
        <f>VLOOKUP(E602,'PESOS SUBGRUPOS'!B$2:C$193,2,FALSE)</f>
        <v>10</v>
      </c>
      <c r="G602" s="6" t="s">
        <v>387</v>
      </c>
      <c r="H602" s="7" t="s">
        <v>15</v>
      </c>
      <c r="I602" s="5">
        <v>30</v>
      </c>
      <c r="M602" s="5" t="s">
        <v>500</v>
      </c>
    </row>
    <row r="603" spans="1:13" x14ac:dyDescent="0.25">
      <c r="A603" s="4">
        <v>734</v>
      </c>
      <c r="B603" s="5" t="s">
        <v>11</v>
      </c>
      <c r="C603" s="6" t="s">
        <v>381</v>
      </c>
      <c r="D603" s="5">
        <f>VLOOKUP(C603,'PESO GRUPO'!A$1:B$9,2,FALSE)</f>
        <v>20</v>
      </c>
      <c r="E603" s="6" t="s">
        <v>407</v>
      </c>
      <c r="F603" s="5">
        <f>VLOOKUP(E603,'PESOS SUBGRUPOS'!B$2:C$193,2,FALSE)</f>
        <v>10</v>
      </c>
      <c r="G603" s="6" t="s">
        <v>370</v>
      </c>
      <c r="H603" s="7" t="s">
        <v>15</v>
      </c>
      <c r="I603" s="5">
        <v>20</v>
      </c>
      <c r="M603" s="5" t="s">
        <v>500</v>
      </c>
    </row>
    <row r="604" spans="1:13" x14ac:dyDescent="0.25">
      <c r="A604" s="4">
        <v>735</v>
      </c>
      <c r="B604" s="5" t="s">
        <v>11</v>
      </c>
      <c r="C604" s="6" t="s">
        <v>381</v>
      </c>
      <c r="D604" s="5">
        <f>VLOOKUP(C604,'PESO GRUPO'!A$1:B$9,2,FALSE)</f>
        <v>20</v>
      </c>
      <c r="E604" s="6" t="s">
        <v>407</v>
      </c>
      <c r="F604" s="5">
        <f>VLOOKUP(E604,'PESOS SUBGRUPOS'!B$2:C$193,2,FALSE)</f>
        <v>10</v>
      </c>
      <c r="G604" s="6" t="s">
        <v>388</v>
      </c>
      <c r="H604" s="7" t="s">
        <v>15</v>
      </c>
      <c r="I604" s="5">
        <v>10</v>
      </c>
      <c r="M604" s="5" t="s">
        <v>500</v>
      </c>
    </row>
    <row r="605" spans="1:13" x14ac:dyDescent="0.25">
      <c r="A605" s="4">
        <v>736</v>
      </c>
      <c r="B605" s="5" t="s">
        <v>11</v>
      </c>
      <c r="C605" s="6" t="s">
        <v>381</v>
      </c>
      <c r="D605" s="5">
        <f>VLOOKUP(C605,'PESO GRUPO'!A$1:B$9,2,FALSE)</f>
        <v>20</v>
      </c>
      <c r="E605" s="6" t="s">
        <v>407</v>
      </c>
      <c r="F605" s="5">
        <f>VLOOKUP(E605,'PESOS SUBGRUPOS'!B$2:C$193,2,FALSE)</f>
        <v>10</v>
      </c>
      <c r="G605" s="6" t="s">
        <v>389</v>
      </c>
      <c r="H605" s="7" t="s">
        <v>15</v>
      </c>
      <c r="I605" s="5">
        <v>10</v>
      </c>
      <c r="M605" s="5" t="s">
        <v>500</v>
      </c>
    </row>
    <row r="606" spans="1:13" x14ac:dyDescent="0.25">
      <c r="A606" s="4">
        <v>737</v>
      </c>
      <c r="B606" s="5" t="s">
        <v>11</v>
      </c>
      <c r="C606" s="6" t="s">
        <v>381</v>
      </c>
      <c r="D606" s="5">
        <f>VLOOKUP(C606,'PESO GRUPO'!A$1:B$9,2,FALSE)</f>
        <v>20</v>
      </c>
      <c r="E606" s="6" t="s">
        <v>407</v>
      </c>
      <c r="F606" s="5">
        <f>VLOOKUP(E606,'PESOS SUBGRUPOS'!B$2:C$193,2,FALSE)</f>
        <v>10</v>
      </c>
      <c r="G606" s="6" t="s">
        <v>390</v>
      </c>
      <c r="H606" s="7" t="s">
        <v>15</v>
      </c>
      <c r="I606" s="5">
        <v>10</v>
      </c>
      <c r="M606" s="5" t="s">
        <v>500</v>
      </c>
    </row>
    <row r="607" spans="1:13" x14ac:dyDescent="0.25">
      <c r="A607" s="4">
        <v>738</v>
      </c>
      <c r="B607" s="5" t="s">
        <v>11</v>
      </c>
      <c r="C607" s="6" t="s">
        <v>381</v>
      </c>
      <c r="D607" s="5">
        <f>VLOOKUP(C607,'PESO GRUPO'!A$1:B$9,2,FALSE)</f>
        <v>20</v>
      </c>
      <c r="E607" s="6" t="s">
        <v>407</v>
      </c>
      <c r="F607" s="5">
        <f>VLOOKUP(E607,'PESOS SUBGRUPOS'!B$2:C$193,2,FALSE)</f>
        <v>10</v>
      </c>
      <c r="G607" s="6" t="s">
        <v>471</v>
      </c>
      <c r="H607" s="7" t="s">
        <v>15</v>
      </c>
      <c r="I607" s="5">
        <v>10</v>
      </c>
      <c r="M607" s="5" t="s">
        <v>500</v>
      </c>
    </row>
    <row r="608" spans="1:13" x14ac:dyDescent="0.25">
      <c r="A608" s="4">
        <v>739</v>
      </c>
      <c r="B608" s="5" t="s">
        <v>11</v>
      </c>
      <c r="C608" s="6" t="s">
        <v>381</v>
      </c>
      <c r="D608" s="5">
        <f>VLOOKUP(C608,'PESO GRUPO'!A$1:B$9,2,FALSE)</f>
        <v>20</v>
      </c>
      <c r="E608" s="6" t="s">
        <v>407</v>
      </c>
      <c r="F608" s="5">
        <f>VLOOKUP(E608,'PESOS SUBGRUPOS'!B$2:C$193,2,FALSE)</f>
        <v>10</v>
      </c>
      <c r="G608" s="6" t="s">
        <v>391</v>
      </c>
      <c r="H608" s="7" t="s">
        <v>15</v>
      </c>
      <c r="I608" s="5">
        <v>10</v>
      </c>
      <c r="M608" s="5" t="s">
        <v>500</v>
      </c>
    </row>
    <row r="609" spans="1:13" x14ac:dyDescent="0.25">
      <c r="A609" s="4">
        <v>740</v>
      </c>
      <c r="B609" s="5" t="s">
        <v>11</v>
      </c>
      <c r="C609" s="6" t="s">
        <v>381</v>
      </c>
      <c r="D609" s="5">
        <f>VLOOKUP(C609,'PESO GRUPO'!A$1:B$9,2,FALSE)</f>
        <v>20</v>
      </c>
      <c r="E609" s="6" t="s">
        <v>407</v>
      </c>
      <c r="F609" s="5">
        <f>VLOOKUP(E609,'PESOS SUBGRUPOS'!B$2:C$193,2,FALSE)</f>
        <v>10</v>
      </c>
      <c r="G609" s="6" t="s">
        <v>392</v>
      </c>
      <c r="H609" s="7" t="s">
        <v>15</v>
      </c>
      <c r="I609" s="5">
        <v>10</v>
      </c>
      <c r="M609" s="5" t="s">
        <v>500</v>
      </c>
    </row>
    <row r="610" spans="1:13" x14ac:dyDescent="0.25">
      <c r="A610" s="4">
        <v>741</v>
      </c>
      <c r="B610" s="5" t="s">
        <v>11</v>
      </c>
      <c r="C610" s="6" t="s">
        <v>381</v>
      </c>
      <c r="D610" s="5">
        <f>VLOOKUP(C610,'PESO GRUPO'!A$1:B$9,2,FALSE)</f>
        <v>20</v>
      </c>
      <c r="E610" s="6" t="s">
        <v>407</v>
      </c>
      <c r="F610" s="5">
        <f>VLOOKUP(E610,'PESOS SUBGRUPOS'!B$2:C$193,2,FALSE)</f>
        <v>10</v>
      </c>
      <c r="G610" s="6" t="s">
        <v>337</v>
      </c>
      <c r="H610" s="7" t="s">
        <v>15</v>
      </c>
      <c r="I610" s="5">
        <v>30</v>
      </c>
      <c r="M610" s="5" t="s">
        <v>500</v>
      </c>
    </row>
    <row r="611" spans="1:13" x14ac:dyDescent="0.25">
      <c r="A611" s="4">
        <v>742</v>
      </c>
      <c r="B611" s="5" t="s">
        <v>11</v>
      </c>
      <c r="C611" s="6" t="s">
        <v>381</v>
      </c>
      <c r="D611" s="5">
        <f>VLOOKUP(C611,'PESO GRUPO'!A$1:B$9,2,FALSE)</f>
        <v>20</v>
      </c>
      <c r="E611" s="6" t="s">
        <v>407</v>
      </c>
      <c r="F611" s="5">
        <f>VLOOKUP(E611,'PESOS SUBGRUPOS'!B$2:C$193,2,FALSE)</f>
        <v>10</v>
      </c>
      <c r="G611" s="6" t="s">
        <v>393</v>
      </c>
      <c r="H611" s="7" t="s">
        <v>15</v>
      </c>
      <c r="I611" s="5">
        <v>10</v>
      </c>
      <c r="M611" s="5" t="s">
        <v>500</v>
      </c>
    </row>
    <row r="612" spans="1:13" x14ac:dyDescent="0.25">
      <c r="A612" s="4">
        <v>743</v>
      </c>
      <c r="B612" s="5" t="s">
        <v>11</v>
      </c>
      <c r="C612" s="6" t="s">
        <v>381</v>
      </c>
      <c r="D612" s="5">
        <f>VLOOKUP(C612,'PESO GRUPO'!A$1:B$9,2,FALSE)</f>
        <v>20</v>
      </c>
      <c r="E612" s="6" t="s">
        <v>407</v>
      </c>
      <c r="F612" s="5">
        <f>VLOOKUP(E612,'PESOS SUBGRUPOS'!B$2:C$193,2,FALSE)</f>
        <v>10</v>
      </c>
      <c r="G612" s="6" t="s">
        <v>394</v>
      </c>
      <c r="H612" s="7" t="s">
        <v>15</v>
      </c>
      <c r="I612" s="5">
        <v>30</v>
      </c>
      <c r="M612" s="5" t="s">
        <v>500</v>
      </c>
    </row>
    <row r="613" spans="1:13" x14ac:dyDescent="0.25">
      <c r="A613" s="4">
        <v>744</v>
      </c>
      <c r="B613" s="5" t="s">
        <v>11</v>
      </c>
      <c r="C613" s="6" t="s">
        <v>381</v>
      </c>
      <c r="D613" s="5">
        <f>VLOOKUP(C613,'PESO GRUPO'!A$1:B$9,2,FALSE)</f>
        <v>20</v>
      </c>
      <c r="E613" s="6" t="s">
        <v>407</v>
      </c>
      <c r="F613" s="5">
        <f>VLOOKUP(E613,'PESOS SUBGRUPOS'!B$2:C$193,2,FALSE)</f>
        <v>10</v>
      </c>
      <c r="G613" s="6" t="s">
        <v>395</v>
      </c>
      <c r="H613" s="7" t="s">
        <v>15</v>
      </c>
      <c r="I613" s="5">
        <v>10</v>
      </c>
      <c r="M613" s="5" t="s">
        <v>500</v>
      </c>
    </row>
    <row r="614" spans="1:13" x14ac:dyDescent="0.25">
      <c r="A614" s="4">
        <v>745</v>
      </c>
      <c r="B614" s="5" t="s">
        <v>11</v>
      </c>
      <c r="C614" s="6" t="s">
        <v>381</v>
      </c>
      <c r="D614" s="5">
        <f>VLOOKUP(C614,'PESO GRUPO'!A$1:B$9,2,FALSE)</f>
        <v>20</v>
      </c>
      <c r="E614" s="6" t="s">
        <v>407</v>
      </c>
      <c r="F614" s="5">
        <f>VLOOKUP(E614,'PESOS SUBGRUPOS'!B$2:C$193,2,FALSE)</f>
        <v>10</v>
      </c>
      <c r="G614" s="6" t="s">
        <v>396</v>
      </c>
      <c r="H614" s="7" t="s">
        <v>15</v>
      </c>
      <c r="I614" s="5">
        <v>20</v>
      </c>
      <c r="M614" s="5" t="s">
        <v>500</v>
      </c>
    </row>
    <row r="615" spans="1:13" x14ac:dyDescent="0.25">
      <c r="A615" s="4">
        <v>746</v>
      </c>
      <c r="B615" s="5" t="s">
        <v>11</v>
      </c>
      <c r="C615" s="6" t="s">
        <v>381</v>
      </c>
      <c r="D615" s="5">
        <f>VLOOKUP(C615,'PESO GRUPO'!A$1:B$9,2,FALSE)</f>
        <v>20</v>
      </c>
      <c r="E615" s="6" t="s">
        <v>407</v>
      </c>
      <c r="F615" s="5">
        <f>VLOOKUP(E615,'PESOS SUBGRUPOS'!B$2:C$193,2,FALSE)</f>
        <v>10</v>
      </c>
      <c r="G615" s="6" t="s">
        <v>397</v>
      </c>
      <c r="H615" s="7" t="s">
        <v>15</v>
      </c>
      <c r="I615" s="5">
        <v>20</v>
      </c>
      <c r="M615" s="5" t="s">
        <v>500</v>
      </c>
    </row>
    <row r="616" spans="1:13" x14ac:dyDescent="0.25">
      <c r="A616" s="4">
        <v>747</v>
      </c>
      <c r="B616" s="5" t="s">
        <v>11</v>
      </c>
      <c r="C616" s="6" t="s">
        <v>381</v>
      </c>
      <c r="D616" s="5">
        <f>VLOOKUP(C616,'PESO GRUPO'!A$1:B$9,2,FALSE)</f>
        <v>20</v>
      </c>
      <c r="E616" s="6" t="s">
        <v>407</v>
      </c>
      <c r="F616" s="5">
        <f>VLOOKUP(E616,'PESOS SUBGRUPOS'!B$2:C$193,2,FALSE)</f>
        <v>10</v>
      </c>
      <c r="G616" s="6" t="s">
        <v>398</v>
      </c>
      <c r="H616" s="7" t="s">
        <v>15</v>
      </c>
      <c r="I616" s="5">
        <v>10</v>
      </c>
      <c r="M616" s="5" t="s">
        <v>500</v>
      </c>
    </row>
    <row r="617" spans="1:13" x14ac:dyDescent="0.25">
      <c r="A617" s="4">
        <v>748</v>
      </c>
      <c r="B617" s="5" t="s">
        <v>11</v>
      </c>
      <c r="C617" s="6" t="s">
        <v>381</v>
      </c>
      <c r="D617" s="5">
        <f>VLOOKUP(C617,'PESO GRUPO'!A$1:B$9,2,FALSE)</f>
        <v>20</v>
      </c>
      <c r="E617" s="6" t="s">
        <v>407</v>
      </c>
      <c r="F617" s="5">
        <f>VLOOKUP(E617,'PESOS SUBGRUPOS'!B$2:C$193,2,FALSE)</f>
        <v>10</v>
      </c>
      <c r="G617" s="6" t="s">
        <v>399</v>
      </c>
      <c r="H617" s="7" t="s">
        <v>15</v>
      </c>
      <c r="I617" s="5">
        <v>10</v>
      </c>
      <c r="M617" s="5" t="s">
        <v>500</v>
      </c>
    </row>
    <row r="618" spans="1:13" x14ac:dyDescent="0.25">
      <c r="A618" s="4">
        <v>749</v>
      </c>
      <c r="B618" s="5" t="s">
        <v>11</v>
      </c>
      <c r="C618" s="6" t="s">
        <v>381</v>
      </c>
      <c r="D618" s="5">
        <f>VLOOKUP(C618,'PESO GRUPO'!A$1:B$9,2,FALSE)</f>
        <v>20</v>
      </c>
      <c r="E618" s="6" t="s">
        <v>407</v>
      </c>
      <c r="F618" s="5">
        <f>VLOOKUP(E618,'PESOS SUBGRUPOS'!B$2:C$193,2,FALSE)</f>
        <v>10</v>
      </c>
      <c r="G618" s="6" t="s">
        <v>400</v>
      </c>
      <c r="H618" s="7" t="s">
        <v>15</v>
      </c>
      <c r="I618" s="5">
        <v>10</v>
      </c>
      <c r="M618" s="5" t="s">
        <v>500</v>
      </c>
    </row>
    <row r="619" spans="1:13" x14ac:dyDescent="0.25">
      <c r="A619" s="4">
        <v>750</v>
      </c>
      <c r="B619" s="5" t="s">
        <v>11</v>
      </c>
      <c r="C619" s="6" t="s">
        <v>381</v>
      </c>
      <c r="D619" s="5">
        <f>VLOOKUP(C619,'PESO GRUPO'!A$1:B$9,2,FALSE)</f>
        <v>20</v>
      </c>
      <c r="E619" s="6" t="s">
        <v>407</v>
      </c>
      <c r="F619" s="5">
        <f>VLOOKUP(E619,'PESOS SUBGRUPOS'!B$2:C$193,2,FALSE)</f>
        <v>10</v>
      </c>
      <c r="G619" s="6" t="s">
        <v>401</v>
      </c>
      <c r="H619" s="7" t="s">
        <v>15</v>
      </c>
      <c r="I619" s="5">
        <v>10</v>
      </c>
      <c r="M619" s="5" t="s">
        <v>500</v>
      </c>
    </row>
    <row r="620" spans="1:13" x14ac:dyDescent="0.25">
      <c r="A620" s="4">
        <v>751</v>
      </c>
      <c r="B620" s="5" t="s">
        <v>16</v>
      </c>
      <c r="C620" s="6" t="s">
        <v>381</v>
      </c>
      <c r="D620" s="5">
        <f>VLOOKUP(C620,'PESO GRUPO'!A$1:B$9,2,FALSE)</f>
        <v>20</v>
      </c>
      <c r="E620" s="6" t="s">
        <v>408</v>
      </c>
      <c r="F620" s="5">
        <f>VLOOKUP(E620,'PESOS SUBGRUPOS'!B$2:C$193,2,FALSE)</f>
        <v>10</v>
      </c>
      <c r="G620" s="6" t="s">
        <v>383</v>
      </c>
      <c r="H620" s="7" t="s">
        <v>15</v>
      </c>
      <c r="I620" s="5">
        <v>0</v>
      </c>
      <c r="M620" s="5" t="s">
        <v>500</v>
      </c>
    </row>
    <row r="621" spans="1:13" x14ac:dyDescent="0.25">
      <c r="A621" s="4">
        <v>752</v>
      </c>
      <c r="B621" s="5" t="s">
        <v>11</v>
      </c>
      <c r="C621" s="6" t="s">
        <v>381</v>
      </c>
      <c r="D621" s="5">
        <f>VLOOKUP(C621,'PESO GRUPO'!A$1:B$9,2,FALSE)</f>
        <v>20</v>
      </c>
      <c r="E621" s="6" t="s">
        <v>408</v>
      </c>
      <c r="F621" s="5">
        <f>VLOOKUP(E621,'PESOS SUBGRUPOS'!B$2:C$193,2,FALSE)</f>
        <v>10</v>
      </c>
      <c r="G621" s="6" t="s">
        <v>384</v>
      </c>
      <c r="H621" s="7" t="s">
        <v>15</v>
      </c>
      <c r="I621" s="5">
        <v>10</v>
      </c>
      <c r="M621" s="5" t="s">
        <v>500</v>
      </c>
    </row>
    <row r="622" spans="1:13" x14ac:dyDescent="0.25">
      <c r="A622" s="4">
        <v>753</v>
      </c>
      <c r="B622" s="5" t="s">
        <v>11</v>
      </c>
      <c r="C622" s="6" t="s">
        <v>381</v>
      </c>
      <c r="D622" s="5">
        <f>VLOOKUP(C622,'PESO GRUPO'!A$1:B$9,2,FALSE)</f>
        <v>20</v>
      </c>
      <c r="E622" s="6" t="s">
        <v>408</v>
      </c>
      <c r="F622" s="5">
        <f>VLOOKUP(E622,'PESOS SUBGRUPOS'!B$2:C$193,2,FALSE)</f>
        <v>10</v>
      </c>
      <c r="G622" s="6" t="s">
        <v>385</v>
      </c>
      <c r="H622" s="7" t="s">
        <v>15</v>
      </c>
      <c r="I622" s="5">
        <v>20</v>
      </c>
      <c r="M622" s="5" t="s">
        <v>500</v>
      </c>
    </row>
    <row r="623" spans="1:13" x14ac:dyDescent="0.25">
      <c r="A623" s="4">
        <v>754</v>
      </c>
      <c r="B623" s="5" t="s">
        <v>11</v>
      </c>
      <c r="C623" s="6" t="s">
        <v>381</v>
      </c>
      <c r="D623" s="5">
        <f>VLOOKUP(C623,'PESO GRUPO'!A$1:B$9,2,FALSE)</f>
        <v>20</v>
      </c>
      <c r="E623" s="6" t="s">
        <v>408</v>
      </c>
      <c r="F623" s="5">
        <f>VLOOKUP(E623,'PESOS SUBGRUPOS'!B$2:C$193,2,FALSE)</f>
        <v>10</v>
      </c>
      <c r="G623" s="6" t="s">
        <v>386</v>
      </c>
      <c r="H623" s="7" t="s">
        <v>15</v>
      </c>
      <c r="I623" s="5">
        <v>30</v>
      </c>
      <c r="M623" s="5" t="s">
        <v>500</v>
      </c>
    </row>
    <row r="624" spans="1:13" x14ac:dyDescent="0.25">
      <c r="A624" s="4">
        <v>755</v>
      </c>
      <c r="B624" s="5" t="s">
        <v>11</v>
      </c>
      <c r="C624" s="6" t="s">
        <v>381</v>
      </c>
      <c r="D624" s="5">
        <f>VLOOKUP(C624,'PESO GRUPO'!A$1:B$9,2,FALSE)</f>
        <v>20</v>
      </c>
      <c r="E624" s="6" t="s">
        <v>408</v>
      </c>
      <c r="F624" s="5">
        <f>VLOOKUP(E624,'PESOS SUBGRUPOS'!B$2:C$193,2,FALSE)</f>
        <v>10</v>
      </c>
      <c r="G624" s="6" t="s">
        <v>387</v>
      </c>
      <c r="H624" s="7" t="s">
        <v>15</v>
      </c>
      <c r="I624" s="5">
        <v>30</v>
      </c>
      <c r="M624" s="5" t="s">
        <v>500</v>
      </c>
    </row>
    <row r="625" spans="1:13" x14ac:dyDescent="0.25">
      <c r="A625" s="4">
        <v>756</v>
      </c>
      <c r="B625" s="5" t="s">
        <v>11</v>
      </c>
      <c r="C625" s="6" t="s">
        <v>381</v>
      </c>
      <c r="D625" s="5">
        <f>VLOOKUP(C625,'PESO GRUPO'!A$1:B$9,2,FALSE)</f>
        <v>20</v>
      </c>
      <c r="E625" s="6" t="s">
        <v>408</v>
      </c>
      <c r="F625" s="5">
        <f>VLOOKUP(E625,'PESOS SUBGRUPOS'!B$2:C$193,2,FALSE)</f>
        <v>10</v>
      </c>
      <c r="G625" s="6" t="s">
        <v>370</v>
      </c>
      <c r="H625" s="7" t="s">
        <v>15</v>
      </c>
      <c r="I625" s="5">
        <v>20</v>
      </c>
      <c r="M625" s="5" t="s">
        <v>500</v>
      </c>
    </row>
    <row r="626" spans="1:13" x14ac:dyDescent="0.25">
      <c r="A626" s="4">
        <v>757</v>
      </c>
      <c r="B626" s="5" t="s">
        <v>11</v>
      </c>
      <c r="C626" s="6" t="s">
        <v>381</v>
      </c>
      <c r="D626" s="5">
        <f>VLOOKUP(C626,'PESO GRUPO'!A$1:B$9,2,FALSE)</f>
        <v>20</v>
      </c>
      <c r="E626" s="6" t="s">
        <v>408</v>
      </c>
      <c r="F626" s="5">
        <f>VLOOKUP(E626,'PESOS SUBGRUPOS'!B$2:C$193,2,FALSE)</f>
        <v>10</v>
      </c>
      <c r="G626" s="6" t="s">
        <v>388</v>
      </c>
      <c r="H626" s="7" t="s">
        <v>15</v>
      </c>
      <c r="I626" s="5">
        <v>10</v>
      </c>
      <c r="M626" s="5" t="s">
        <v>500</v>
      </c>
    </row>
    <row r="627" spans="1:13" x14ac:dyDescent="0.25">
      <c r="A627" s="4">
        <v>758</v>
      </c>
      <c r="B627" s="5" t="s">
        <v>11</v>
      </c>
      <c r="C627" s="6" t="s">
        <v>381</v>
      </c>
      <c r="D627" s="5">
        <f>VLOOKUP(C627,'PESO GRUPO'!A$1:B$9,2,FALSE)</f>
        <v>20</v>
      </c>
      <c r="E627" s="6" t="s">
        <v>408</v>
      </c>
      <c r="F627" s="5">
        <f>VLOOKUP(E627,'PESOS SUBGRUPOS'!B$2:C$193,2,FALSE)</f>
        <v>10</v>
      </c>
      <c r="G627" s="6" t="s">
        <v>389</v>
      </c>
      <c r="H627" s="7" t="s">
        <v>15</v>
      </c>
      <c r="I627" s="5">
        <v>10</v>
      </c>
      <c r="M627" s="5" t="s">
        <v>500</v>
      </c>
    </row>
    <row r="628" spans="1:13" x14ac:dyDescent="0.25">
      <c r="A628" s="4">
        <v>759</v>
      </c>
      <c r="B628" s="5" t="s">
        <v>11</v>
      </c>
      <c r="C628" s="6" t="s">
        <v>381</v>
      </c>
      <c r="D628" s="5">
        <f>VLOOKUP(C628,'PESO GRUPO'!A$1:B$9,2,FALSE)</f>
        <v>20</v>
      </c>
      <c r="E628" s="6" t="s">
        <v>408</v>
      </c>
      <c r="F628" s="5">
        <f>VLOOKUP(E628,'PESOS SUBGRUPOS'!B$2:C$193,2,FALSE)</f>
        <v>10</v>
      </c>
      <c r="G628" s="6" t="s">
        <v>390</v>
      </c>
      <c r="H628" s="7" t="s">
        <v>15</v>
      </c>
      <c r="I628" s="5">
        <v>10</v>
      </c>
      <c r="M628" s="5" t="s">
        <v>500</v>
      </c>
    </row>
    <row r="629" spans="1:13" x14ac:dyDescent="0.25">
      <c r="A629" s="4">
        <v>760</v>
      </c>
      <c r="B629" s="5" t="s">
        <v>11</v>
      </c>
      <c r="C629" s="6" t="s">
        <v>381</v>
      </c>
      <c r="D629" s="5">
        <f>VLOOKUP(C629,'PESO GRUPO'!A$1:B$9,2,FALSE)</f>
        <v>20</v>
      </c>
      <c r="E629" s="6" t="s">
        <v>408</v>
      </c>
      <c r="F629" s="5">
        <f>VLOOKUP(E629,'PESOS SUBGRUPOS'!B$2:C$193,2,FALSE)</f>
        <v>10</v>
      </c>
      <c r="G629" s="6" t="s">
        <v>471</v>
      </c>
      <c r="H629" s="7" t="s">
        <v>15</v>
      </c>
      <c r="I629" s="5">
        <v>10</v>
      </c>
      <c r="M629" s="5" t="s">
        <v>500</v>
      </c>
    </row>
    <row r="630" spans="1:13" x14ac:dyDescent="0.25">
      <c r="A630" s="4">
        <v>761</v>
      </c>
      <c r="B630" s="5" t="s">
        <v>11</v>
      </c>
      <c r="C630" s="6" t="s">
        <v>381</v>
      </c>
      <c r="D630" s="5">
        <f>VLOOKUP(C630,'PESO GRUPO'!A$1:B$9,2,FALSE)</f>
        <v>20</v>
      </c>
      <c r="E630" s="6" t="s">
        <v>408</v>
      </c>
      <c r="F630" s="5">
        <f>VLOOKUP(E630,'PESOS SUBGRUPOS'!B$2:C$193,2,FALSE)</f>
        <v>10</v>
      </c>
      <c r="G630" s="6" t="s">
        <v>391</v>
      </c>
      <c r="H630" s="7" t="s">
        <v>15</v>
      </c>
      <c r="I630" s="5">
        <v>10</v>
      </c>
      <c r="M630" s="5" t="s">
        <v>500</v>
      </c>
    </row>
    <row r="631" spans="1:13" x14ac:dyDescent="0.25">
      <c r="A631" s="4">
        <v>762</v>
      </c>
      <c r="B631" s="5" t="s">
        <v>11</v>
      </c>
      <c r="C631" s="6" t="s">
        <v>381</v>
      </c>
      <c r="D631" s="5">
        <f>VLOOKUP(C631,'PESO GRUPO'!A$1:B$9,2,FALSE)</f>
        <v>20</v>
      </c>
      <c r="E631" s="6" t="s">
        <v>408</v>
      </c>
      <c r="F631" s="5">
        <f>VLOOKUP(E631,'PESOS SUBGRUPOS'!B$2:C$193,2,FALSE)</f>
        <v>10</v>
      </c>
      <c r="G631" s="6" t="s">
        <v>392</v>
      </c>
      <c r="H631" s="7" t="s">
        <v>15</v>
      </c>
      <c r="I631" s="5">
        <v>10</v>
      </c>
      <c r="M631" s="5" t="s">
        <v>500</v>
      </c>
    </row>
    <row r="632" spans="1:13" x14ac:dyDescent="0.25">
      <c r="A632" s="4">
        <v>763</v>
      </c>
      <c r="B632" s="5" t="s">
        <v>11</v>
      </c>
      <c r="C632" s="6" t="s">
        <v>381</v>
      </c>
      <c r="D632" s="5">
        <f>VLOOKUP(C632,'PESO GRUPO'!A$1:B$9,2,FALSE)</f>
        <v>20</v>
      </c>
      <c r="E632" s="6" t="s">
        <v>408</v>
      </c>
      <c r="F632" s="5">
        <f>VLOOKUP(E632,'PESOS SUBGRUPOS'!B$2:C$193,2,FALSE)</f>
        <v>10</v>
      </c>
      <c r="G632" s="6" t="s">
        <v>337</v>
      </c>
      <c r="H632" s="7" t="s">
        <v>15</v>
      </c>
      <c r="I632" s="5">
        <v>30</v>
      </c>
      <c r="M632" s="5" t="s">
        <v>500</v>
      </c>
    </row>
    <row r="633" spans="1:13" x14ac:dyDescent="0.25">
      <c r="A633" s="4">
        <v>764</v>
      </c>
      <c r="B633" s="5" t="s">
        <v>11</v>
      </c>
      <c r="C633" s="6" t="s">
        <v>381</v>
      </c>
      <c r="D633" s="5">
        <f>VLOOKUP(C633,'PESO GRUPO'!A$1:B$9,2,FALSE)</f>
        <v>20</v>
      </c>
      <c r="E633" s="6" t="s">
        <v>408</v>
      </c>
      <c r="F633" s="5">
        <f>VLOOKUP(E633,'PESOS SUBGRUPOS'!B$2:C$193,2,FALSE)</f>
        <v>10</v>
      </c>
      <c r="G633" s="6" t="s">
        <v>393</v>
      </c>
      <c r="H633" s="7" t="s">
        <v>15</v>
      </c>
      <c r="I633" s="5">
        <v>10</v>
      </c>
      <c r="M633" s="5" t="s">
        <v>500</v>
      </c>
    </row>
    <row r="634" spans="1:13" x14ac:dyDescent="0.25">
      <c r="A634" s="4">
        <v>765</v>
      </c>
      <c r="B634" s="5" t="s">
        <v>11</v>
      </c>
      <c r="C634" s="6" t="s">
        <v>381</v>
      </c>
      <c r="D634" s="5">
        <f>VLOOKUP(C634,'PESO GRUPO'!A$1:B$9,2,FALSE)</f>
        <v>20</v>
      </c>
      <c r="E634" s="6" t="s">
        <v>408</v>
      </c>
      <c r="F634" s="5">
        <f>VLOOKUP(E634,'PESOS SUBGRUPOS'!B$2:C$193,2,FALSE)</f>
        <v>10</v>
      </c>
      <c r="G634" s="6" t="s">
        <v>394</v>
      </c>
      <c r="H634" s="7" t="s">
        <v>15</v>
      </c>
      <c r="I634" s="5">
        <v>30</v>
      </c>
      <c r="M634" s="5" t="s">
        <v>500</v>
      </c>
    </row>
    <row r="635" spans="1:13" x14ac:dyDescent="0.25">
      <c r="A635" s="4">
        <v>766</v>
      </c>
      <c r="B635" s="5" t="s">
        <v>11</v>
      </c>
      <c r="C635" s="6" t="s">
        <v>381</v>
      </c>
      <c r="D635" s="5">
        <f>VLOOKUP(C635,'PESO GRUPO'!A$1:B$9,2,FALSE)</f>
        <v>20</v>
      </c>
      <c r="E635" s="6" t="s">
        <v>408</v>
      </c>
      <c r="F635" s="5">
        <f>VLOOKUP(E635,'PESOS SUBGRUPOS'!B$2:C$193,2,FALSE)</f>
        <v>10</v>
      </c>
      <c r="G635" s="6" t="s">
        <v>395</v>
      </c>
      <c r="H635" s="7" t="s">
        <v>15</v>
      </c>
      <c r="I635" s="5">
        <v>10</v>
      </c>
      <c r="M635" s="5" t="s">
        <v>500</v>
      </c>
    </row>
    <row r="636" spans="1:13" x14ac:dyDescent="0.25">
      <c r="A636" s="4">
        <v>767</v>
      </c>
      <c r="B636" s="5" t="s">
        <v>11</v>
      </c>
      <c r="C636" s="6" t="s">
        <v>381</v>
      </c>
      <c r="D636" s="5">
        <f>VLOOKUP(C636,'PESO GRUPO'!A$1:B$9,2,FALSE)</f>
        <v>20</v>
      </c>
      <c r="E636" s="6" t="s">
        <v>408</v>
      </c>
      <c r="F636" s="5">
        <f>VLOOKUP(E636,'PESOS SUBGRUPOS'!B$2:C$193,2,FALSE)</f>
        <v>10</v>
      </c>
      <c r="G636" s="6" t="s">
        <v>396</v>
      </c>
      <c r="H636" s="7" t="s">
        <v>15</v>
      </c>
      <c r="I636" s="5">
        <v>20</v>
      </c>
      <c r="M636" s="5" t="s">
        <v>500</v>
      </c>
    </row>
    <row r="637" spans="1:13" x14ac:dyDescent="0.25">
      <c r="A637" s="4">
        <v>768</v>
      </c>
      <c r="B637" s="5" t="s">
        <v>11</v>
      </c>
      <c r="C637" s="6" t="s">
        <v>381</v>
      </c>
      <c r="D637" s="5">
        <f>VLOOKUP(C637,'PESO GRUPO'!A$1:B$9,2,FALSE)</f>
        <v>20</v>
      </c>
      <c r="E637" s="6" t="s">
        <v>408</v>
      </c>
      <c r="F637" s="5">
        <f>VLOOKUP(E637,'PESOS SUBGRUPOS'!B$2:C$193,2,FALSE)</f>
        <v>10</v>
      </c>
      <c r="G637" s="6" t="s">
        <v>397</v>
      </c>
      <c r="H637" s="7" t="s">
        <v>15</v>
      </c>
      <c r="I637" s="5">
        <v>20</v>
      </c>
      <c r="M637" s="5" t="s">
        <v>500</v>
      </c>
    </row>
    <row r="638" spans="1:13" x14ac:dyDescent="0.25">
      <c r="A638" s="4">
        <v>769</v>
      </c>
      <c r="B638" s="5" t="s">
        <v>11</v>
      </c>
      <c r="C638" s="6" t="s">
        <v>381</v>
      </c>
      <c r="D638" s="5">
        <f>VLOOKUP(C638,'PESO GRUPO'!A$1:B$9,2,FALSE)</f>
        <v>20</v>
      </c>
      <c r="E638" s="6" t="s">
        <v>408</v>
      </c>
      <c r="F638" s="5">
        <f>VLOOKUP(E638,'PESOS SUBGRUPOS'!B$2:C$193,2,FALSE)</f>
        <v>10</v>
      </c>
      <c r="G638" s="6" t="s">
        <v>398</v>
      </c>
      <c r="H638" s="7" t="s">
        <v>15</v>
      </c>
      <c r="I638" s="5">
        <v>10</v>
      </c>
      <c r="M638" s="5" t="s">
        <v>500</v>
      </c>
    </row>
    <row r="639" spans="1:13" x14ac:dyDescent="0.25">
      <c r="A639" s="4">
        <v>770</v>
      </c>
      <c r="B639" s="5" t="s">
        <v>11</v>
      </c>
      <c r="C639" s="6" t="s">
        <v>381</v>
      </c>
      <c r="D639" s="5">
        <f>VLOOKUP(C639,'PESO GRUPO'!A$1:B$9,2,FALSE)</f>
        <v>20</v>
      </c>
      <c r="E639" s="6" t="s">
        <v>408</v>
      </c>
      <c r="F639" s="5">
        <f>VLOOKUP(E639,'PESOS SUBGRUPOS'!B$2:C$193,2,FALSE)</f>
        <v>10</v>
      </c>
      <c r="G639" s="6" t="s">
        <v>399</v>
      </c>
      <c r="H639" s="7" t="s">
        <v>15</v>
      </c>
      <c r="I639" s="5">
        <v>10</v>
      </c>
      <c r="M639" s="5" t="s">
        <v>500</v>
      </c>
    </row>
    <row r="640" spans="1:13" x14ac:dyDescent="0.25">
      <c r="A640" s="4">
        <v>771</v>
      </c>
      <c r="B640" s="5" t="s">
        <v>11</v>
      </c>
      <c r="C640" s="6" t="s">
        <v>381</v>
      </c>
      <c r="D640" s="5">
        <f>VLOOKUP(C640,'PESO GRUPO'!A$1:B$9,2,FALSE)</f>
        <v>20</v>
      </c>
      <c r="E640" s="6" t="s">
        <v>408</v>
      </c>
      <c r="F640" s="5">
        <f>VLOOKUP(E640,'PESOS SUBGRUPOS'!B$2:C$193,2,FALSE)</f>
        <v>10</v>
      </c>
      <c r="G640" s="6" t="s">
        <v>400</v>
      </c>
      <c r="H640" s="7" t="s">
        <v>15</v>
      </c>
      <c r="I640" s="5">
        <v>10</v>
      </c>
      <c r="M640" s="5" t="s">
        <v>500</v>
      </c>
    </row>
    <row r="641" spans="1:13" x14ac:dyDescent="0.25">
      <c r="A641" s="4">
        <v>772</v>
      </c>
      <c r="B641" s="5" t="s">
        <v>11</v>
      </c>
      <c r="C641" s="6" t="s">
        <v>381</v>
      </c>
      <c r="D641" s="5">
        <f>VLOOKUP(C641,'PESO GRUPO'!A$1:B$9,2,FALSE)</f>
        <v>20</v>
      </c>
      <c r="E641" s="6" t="s">
        <v>408</v>
      </c>
      <c r="F641" s="5">
        <f>VLOOKUP(E641,'PESOS SUBGRUPOS'!B$2:C$193,2,FALSE)</f>
        <v>10</v>
      </c>
      <c r="G641" s="6" t="s">
        <v>401</v>
      </c>
      <c r="H641" s="7" t="s">
        <v>15</v>
      </c>
      <c r="I641" s="5">
        <v>10</v>
      </c>
      <c r="M641" s="5" t="s">
        <v>500</v>
      </c>
    </row>
    <row r="642" spans="1:13" x14ac:dyDescent="0.25">
      <c r="A642" s="4">
        <v>773</v>
      </c>
      <c r="B642" s="5" t="s">
        <v>16</v>
      </c>
      <c r="C642" s="6" t="s">
        <v>381</v>
      </c>
      <c r="D642" s="5">
        <f>VLOOKUP(C642,'PESO GRUPO'!A$1:B$9,2,FALSE)</f>
        <v>20</v>
      </c>
      <c r="E642" s="6" t="s">
        <v>409</v>
      </c>
      <c r="F642" s="5">
        <f>VLOOKUP(E642,'PESOS SUBGRUPOS'!B$2:C$193,2,FALSE)</f>
        <v>10</v>
      </c>
      <c r="G642" s="6" t="s">
        <v>383</v>
      </c>
      <c r="H642" s="7" t="s">
        <v>15</v>
      </c>
      <c r="I642" s="5">
        <v>0</v>
      </c>
      <c r="M642" s="5" t="s">
        <v>500</v>
      </c>
    </row>
    <row r="643" spans="1:13" x14ac:dyDescent="0.25">
      <c r="A643" s="4">
        <v>774</v>
      </c>
      <c r="B643" s="5" t="s">
        <v>11</v>
      </c>
      <c r="C643" s="6" t="s">
        <v>381</v>
      </c>
      <c r="D643" s="5">
        <f>VLOOKUP(C643,'PESO GRUPO'!A$1:B$9,2,FALSE)</f>
        <v>20</v>
      </c>
      <c r="E643" s="6" t="s">
        <v>409</v>
      </c>
      <c r="F643" s="5">
        <f>VLOOKUP(E643,'PESOS SUBGRUPOS'!B$2:C$193,2,FALSE)</f>
        <v>10</v>
      </c>
      <c r="G643" s="6" t="s">
        <v>384</v>
      </c>
      <c r="H643" s="7" t="s">
        <v>15</v>
      </c>
      <c r="I643" s="5">
        <v>10</v>
      </c>
      <c r="M643" s="5" t="s">
        <v>500</v>
      </c>
    </row>
    <row r="644" spans="1:13" x14ac:dyDescent="0.25">
      <c r="A644" s="4">
        <v>775</v>
      </c>
      <c r="B644" s="5" t="s">
        <v>11</v>
      </c>
      <c r="C644" s="6" t="s">
        <v>381</v>
      </c>
      <c r="D644" s="5">
        <f>VLOOKUP(C644,'PESO GRUPO'!A$1:B$9,2,FALSE)</f>
        <v>20</v>
      </c>
      <c r="E644" s="6" t="s">
        <v>409</v>
      </c>
      <c r="F644" s="5">
        <f>VLOOKUP(E644,'PESOS SUBGRUPOS'!B$2:C$193,2,FALSE)</f>
        <v>10</v>
      </c>
      <c r="G644" s="6" t="s">
        <v>385</v>
      </c>
      <c r="H644" s="7" t="s">
        <v>15</v>
      </c>
      <c r="I644" s="5">
        <v>20</v>
      </c>
      <c r="M644" s="5" t="s">
        <v>500</v>
      </c>
    </row>
    <row r="645" spans="1:13" x14ac:dyDescent="0.25">
      <c r="A645" s="4">
        <v>776</v>
      </c>
      <c r="B645" s="5" t="s">
        <v>11</v>
      </c>
      <c r="C645" s="6" t="s">
        <v>381</v>
      </c>
      <c r="D645" s="5">
        <f>VLOOKUP(C645,'PESO GRUPO'!A$1:B$9,2,FALSE)</f>
        <v>20</v>
      </c>
      <c r="E645" s="6" t="s">
        <v>409</v>
      </c>
      <c r="F645" s="5">
        <f>VLOOKUP(E645,'PESOS SUBGRUPOS'!B$2:C$193,2,FALSE)</f>
        <v>10</v>
      </c>
      <c r="G645" s="6" t="s">
        <v>386</v>
      </c>
      <c r="H645" s="7" t="s">
        <v>15</v>
      </c>
      <c r="I645" s="5">
        <v>30</v>
      </c>
      <c r="M645" s="5" t="s">
        <v>500</v>
      </c>
    </row>
    <row r="646" spans="1:13" x14ac:dyDescent="0.25">
      <c r="A646" s="4">
        <v>777</v>
      </c>
      <c r="B646" s="5" t="s">
        <v>11</v>
      </c>
      <c r="C646" s="6" t="s">
        <v>381</v>
      </c>
      <c r="D646" s="5">
        <f>VLOOKUP(C646,'PESO GRUPO'!A$1:B$9,2,FALSE)</f>
        <v>20</v>
      </c>
      <c r="E646" s="6" t="s">
        <v>409</v>
      </c>
      <c r="F646" s="5">
        <f>VLOOKUP(E646,'PESOS SUBGRUPOS'!B$2:C$193,2,FALSE)</f>
        <v>10</v>
      </c>
      <c r="G646" s="6" t="s">
        <v>387</v>
      </c>
      <c r="H646" s="7" t="s">
        <v>15</v>
      </c>
      <c r="I646" s="5">
        <v>30</v>
      </c>
      <c r="M646" s="5" t="s">
        <v>500</v>
      </c>
    </row>
    <row r="647" spans="1:13" x14ac:dyDescent="0.25">
      <c r="A647" s="4">
        <v>778</v>
      </c>
      <c r="B647" s="5" t="s">
        <v>11</v>
      </c>
      <c r="C647" s="6" t="s">
        <v>381</v>
      </c>
      <c r="D647" s="5">
        <f>VLOOKUP(C647,'PESO GRUPO'!A$1:B$9,2,FALSE)</f>
        <v>20</v>
      </c>
      <c r="E647" s="6" t="s">
        <v>409</v>
      </c>
      <c r="F647" s="5">
        <f>VLOOKUP(E647,'PESOS SUBGRUPOS'!B$2:C$193,2,FALSE)</f>
        <v>10</v>
      </c>
      <c r="G647" s="6" t="s">
        <v>370</v>
      </c>
      <c r="H647" s="7" t="s">
        <v>15</v>
      </c>
      <c r="I647" s="5">
        <v>20</v>
      </c>
      <c r="M647" s="5" t="s">
        <v>500</v>
      </c>
    </row>
    <row r="648" spans="1:13" x14ac:dyDescent="0.25">
      <c r="A648" s="4">
        <v>779</v>
      </c>
      <c r="B648" s="5" t="s">
        <v>11</v>
      </c>
      <c r="C648" s="6" t="s">
        <v>381</v>
      </c>
      <c r="D648" s="5">
        <f>VLOOKUP(C648,'PESO GRUPO'!A$1:B$9,2,FALSE)</f>
        <v>20</v>
      </c>
      <c r="E648" s="6" t="s">
        <v>409</v>
      </c>
      <c r="F648" s="5">
        <f>VLOOKUP(E648,'PESOS SUBGRUPOS'!B$2:C$193,2,FALSE)</f>
        <v>10</v>
      </c>
      <c r="G648" s="6" t="s">
        <v>388</v>
      </c>
      <c r="H648" s="7" t="s">
        <v>15</v>
      </c>
      <c r="I648" s="5">
        <v>10</v>
      </c>
      <c r="M648" s="5" t="s">
        <v>500</v>
      </c>
    </row>
    <row r="649" spans="1:13" x14ac:dyDescent="0.25">
      <c r="A649" s="4">
        <v>780</v>
      </c>
      <c r="B649" s="5" t="s">
        <v>11</v>
      </c>
      <c r="C649" s="6" t="s">
        <v>381</v>
      </c>
      <c r="D649" s="5">
        <f>VLOOKUP(C649,'PESO GRUPO'!A$1:B$9,2,FALSE)</f>
        <v>20</v>
      </c>
      <c r="E649" s="6" t="s">
        <v>409</v>
      </c>
      <c r="F649" s="5">
        <f>VLOOKUP(E649,'PESOS SUBGRUPOS'!B$2:C$193,2,FALSE)</f>
        <v>10</v>
      </c>
      <c r="G649" s="6" t="s">
        <v>389</v>
      </c>
      <c r="H649" s="7" t="s">
        <v>15</v>
      </c>
      <c r="I649" s="5">
        <v>10</v>
      </c>
      <c r="M649" s="5" t="s">
        <v>500</v>
      </c>
    </row>
    <row r="650" spans="1:13" x14ac:dyDescent="0.25">
      <c r="A650" s="4">
        <v>781</v>
      </c>
      <c r="B650" s="5" t="s">
        <v>11</v>
      </c>
      <c r="C650" s="6" t="s">
        <v>381</v>
      </c>
      <c r="D650" s="5">
        <f>VLOOKUP(C650,'PESO GRUPO'!A$1:B$9,2,FALSE)</f>
        <v>20</v>
      </c>
      <c r="E650" s="6" t="s">
        <v>409</v>
      </c>
      <c r="F650" s="5">
        <f>VLOOKUP(E650,'PESOS SUBGRUPOS'!B$2:C$193,2,FALSE)</f>
        <v>10</v>
      </c>
      <c r="G650" s="6" t="s">
        <v>390</v>
      </c>
      <c r="H650" s="7" t="s">
        <v>15</v>
      </c>
      <c r="I650" s="5">
        <v>10</v>
      </c>
      <c r="M650" s="5" t="s">
        <v>500</v>
      </c>
    </row>
    <row r="651" spans="1:13" x14ac:dyDescent="0.25">
      <c r="A651" s="4">
        <v>782</v>
      </c>
      <c r="B651" s="5" t="s">
        <v>11</v>
      </c>
      <c r="C651" s="6" t="s">
        <v>381</v>
      </c>
      <c r="D651" s="5">
        <f>VLOOKUP(C651,'PESO GRUPO'!A$1:B$9,2,FALSE)</f>
        <v>20</v>
      </c>
      <c r="E651" s="6" t="s">
        <v>409</v>
      </c>
      <c r="F651" s="5">
        <f>VLOOKUP(E651,'PESOS SUBGRUPOS'!B$2:C$193,2,FALSE)</f>
        <v>10</v>
      </c>
      <c r="G651" s="6" t="s">
        <v>471</v>
      </c>
      <c r="H651" s="7" t="s">
        <v>15</v>
      </c>
      <c r="I651" s="5">
        <v>10</v>
      </c>
      <c r="M651" s="5" t="s">
        <v>500</v>
      </c>
    </row>
    <row r="652" spans="1:13" x14ac:dyDescent="0.25">
      <c r="A652" s="4">
        <v>783</v>
      </c>
      <c r="B652" s="5" t="s">
        <v>11</v>
      </c>
      <c r="C652" s="6" t="s">
        <v>381</v>
      </c>
      <c r="D652" s="5">
        <f>VLOOKUP(C652,'PESO GRUPO'!A$1:B$9,2,FALSE)</f>
        <v>20</v>
      </c>
      <c r="E652" s="6" t="s">
        <v>409</v>
      </c>
      <c r="F652" s="5">
        <f>VLOOKUP(E652,'PESOS SUBGRUPOS'!B$2:C$193,2,FALSE)</f>
        <v>10</v>
      </c>
      <c r="G652" s="6" t="s">
        <v>391</v>
      </c>
      <c r="H652" s="7" t="s">
        <v>15</v>
      </c>
      <c r="I652" s="5">
        <v>10</v>
      </c>
      <c r="M652" s="5" t="s">
        <v>500</v>
      </c>
    </row>
    <row r="653" spans="1:13" x14ac:dyDescent="0.25">
      <c r="A653" s="4">
        <v>784</v>
      </c>
      <c r="B653" s="5" t="s">
        <v>11</v>
      </c>
      <c r="C653" s="6" t="s">
        <v>381</v>
      </c>
      <c r="D653" s="5">
        <f>VLOOKUP(C653,'PESO GRUPO'!A$1:B$9,2,FALSE)</f>
        <v>20</v>
      </c>
      <c r="E653" s="6" t="s">
        <v>409</v>
      </c>
      <c r="F653" s="5">
        <f>VLOOKUP(E653,'PESOS SUBGRUPOS'!B$2:C$193,2,FALSE)</f>
        <v>10</v>
      </c>
      <c r="G653" s="6" t="s">
        <v>392</v>
      </c>
      <c r="H653" s="7" t="s">
        <v>15</v>
      </c>
      <c r="I653" s="5">
        <v>10</v>
      </c>
      <c r="M653" s="5" t="s">
        <v>500</v>
      </c>
    </row>
    <row r="654" spans="1:13" x14ac:dyDescent="0.25">
      <c r="A654" s="4">
        <v>785</v>
      </c>
      <c r="B654" s="5" t="s">
        <v>11</v>
      </c>
      <c r="C654" s="6" t="s">
        <v>381</v>
      </c>
      <c r="D654" s="5">
        <f>VLOOKUP(C654,'PESO GRUPO'!A$1:B$9,2,FALSE)</f>
        <v>20</v>
      </c>
      <c r="E654" s="6" t="s">
        <v>409</v>
      </c>
      <c r="F654" s="5">
        <f>VLOOKUP(E654,'PESOS SUBGRUPOS'!B$2:C$193,2,FALSE)</f>
        <v>10</v>
      </c>
      <c r="G654" s="6" t="s">
        <v>337</v>
      </c>
      <c r="H654" s="7" t="s">
        <v>15</v>
      </c>
      <c r="I654" s="5">
        <v>30</v>
      </c>
      <c r="M654" s="5" t="s">
        <v>500</v>
      </c>
    </row>
    <row r="655" spans="1:13" x14ac:dyDescent="0.25">
      <c r="A655" s="4">
        <v>786</v>
      </c>
      <c r="B655" s="5" t="s">
        <v>11</v>
      </c>
      <c r="C655" s="6" t="s">
        <v>381</v>
      </c>
      <c r="D655" s="5">
        <f>VLOOKUP(C655,'PESO GRUPO'!A$1:B$9,2,FALSE)</f>
        <v>20</v>
      </c>
      <c r="E655" s="6" t="s">
        <v>409</v>
      </c>
      <c r="F655" s="5">
        <f>VLOOKUP(E655,'PESOS SUBGRUPOS'!B$2:C$193,2,FALSE)</f>
        <v>10</v>
      </c>
      <c r="G655" s="6" t="s">
        <v>393</v>
      </c>
      <c r="H655" s="7" t="s">
        <v>15</v>
      </c>
      <c r="I655" s="5">
        <v>10</v>
      </c>
      <c r="M655" s="5" t="s">
        <v>500</v>
      </c>
    </row>
    <row r="656" spans="1:13" x14ac:dyDescent="0.25">
      <c r="A656" s="4">
        <v>787</v>
      </c>
      <c r="B656" s="5" t="s">
        <v>11</v>
      </c>
      <c r="C656" s="6" t="s">
        <v>381</v>
      </c>
      <c r="D656" s="5">
        <f>VLOOKUP(C656,'PESO GRUPO'!A$1:B$9,2,FALSE)</f>
        <v>20</v>
      </c>
      <c r="E656" s="6" t="s">
        <v>409</v>
      </c>
      <c r="F656" s="5">
        <f>VLOOKUP(E656,'PESOS SUBGRUPOS'!B$2:C$193,2,FALSE)</f>
        <v>10</v>
      </c>
      <c r="G656" s="6" t="s">
        <v>394</v>
      </c>
      <c r="H656" s="7" t="s">
        <v>15</v>
      </c>
      <c r="I656" s="5">
        <v>30</v>
      </c>
      <c r="M656" s="5" t="s">
        <v>500</v>
      </c>
    </row>
    <row r="657" spans="1:13" x14ac:dyDescent="0.25">
      <c r="A657" s="4">
        <v>788</v>
      </c>
      <c r="B657" s="5" t="s">
        <v>11</v>
      </c>
      <c r="C657" s="6" t="s">
        <v>381</v>
      </c>
      <c r="D657" s="5">
        <f>VLOOKUP(C657,'PESO GRUPO'!A$1:B$9,2,FALSE)</f>
        <v>20</v>
      </c>
      <c r="E657" s="6" t="s">
        <v>409</v>
      </c>
      <c r="F657" s="5">
        <f>VLOOKUP(E657,'PESOS SUBGRUPOS'!B$2:C$193,2,FALSE)</f>
        <v>10</v>
      </c>
      <c r="G657" s="6" t="s">
        <v>395</v>
      </c>
      <c r="H657" s="7" t="s">
        <v>15</v>
      </c>
      <c r="I657" s="5">
        <v>10</v>
      </c>
      <c r="M657" s="5" t="s">
        <v>500</v>
      </c>
    </row>
    <row r="658" spans="1:13" x14ac:dyDescent="0.25">
      <c r="A658" s="4">
        <v>789</v>
      </c>
      <c r="B658" s="5" t="s">
        <v>11</v>
      </c>
      <c r="C658" s="6" t="s">
        <v>381</v>
      </c>
      <c r="D658" s="5">
        <f>VLOOKUP(C658,'PESO GRUPO'!A$1:B$9,2,FALSE)</f>
        <v>20</v>
      </c>
      <c r="E658" s="6" t="s">
        <v>409</v>
      </c>
      <c r="F658" s="5">
        <f>VLOOKUP(E658,'PESOS SUBGRUPOS'!B$2:C$193,2,FALSE)</f>
        <v>10</v>
      </c>
      <c r="G658" s="6" t="s">
        <v>396</v>
      </c>
      <c r="H658" s="7" t="s">
        <v>15</v>
      </c>
      <c r="I658" s="5">
        <v>20</v>
      </c>
      <c r="M658" s="5" t="s">
        <v>500</v>
      </c>
    </row>
    <row r="659" spans="1:13" x14ac:dyDescent="0.25">
      <c r="A659" s="4">
        <v>790</v>
      </c>
      <c r="B659" s="5" t="s">
        <v>11</v>
      </c>
      <c r="C659" s="6" t="s">
        <v>381</v>
      </c>
      <c r="D659" s="5">
        <f>VLOOKUP(C659,'PESO GRUPO'!A$1:B$9,2,FALSE)</f>
        <v>20</v>
      </c>
      <c r="E659" s="6" t="s">
        <v>409</v>
      </c>
      <c r="F659" s="5">
        <f>VLOOKUP(E659,'PESOS SUBGRUPOS'!B$2:C$193,2,FALSE)</f>
        <v>10</v>
      </c>
      <c r="G659" s="6" t="s">
        <v>397</v>
      </c>
      <c r="H659" s="7" t="s">
        <v>15</v>
      </c>
      <c r="I659" s="5">
        <v>20</v>
      </c>
      <c r="M659" s="5" t="s">
        <v>500</v>
      </c>
    </row>
    <row r="660" spans="1:13" x14ac:dyDescent="0.25">
      <c r="A660" s="4">
        <v>791</v>
      </c>
      <c r="B660" s="5" t="s">
        <v>11</v>
      </c>
      <c r="C660" s="6" t="s">
        <v>381</v>
      </c>
      <c r="D660" s="5">
        <f>VLOOKUP(C660,'PESO GRUPO'!A$1:B$9,2,FALSE)</f>
        <v>20</v>
      </c>
      <c r="E660" s="6" t="s">
        <v>409</v>
      </c>
      <c r="F660" s="5">
        <f>VLOOKUP(E660,'PESOS SUBGRUPOS'!B$2:C$193,2,FALSE)</f>
        <v>10</v>
      </c>
      <c r="G660" s="6" t="s">
        <v>398</v>
      </c>
      <c r="H660" s="7" t="s">
        <v>15</v>
      </c>
      <c r="I660" s="5">
        <v>10</v>
      </c>
      <c r="M660" s="5" t="s">
        <v>500</v>
      </c>
    </row>
    <row r="661" spans="1:13" x14ac:dyDescent="0.25">
      <c r="A661" s="4">
        <v>792</v>
      </c>
      <c r="B661" s="5" t="s">
        <v>11</v>
      </c>
      <c r="C661" s="6" t="s">
        <v>381</v>
      </c>
      <c r="D661" s="5">
        <f>VLOOKUP(C661,'PESO GRUPO'!A$1:B$9,2,FALSE)</f>
        <v>20</v>
      </c>
      <c r="E661" s="6" t="s">
        <v>409</v>
      </c>
      <c r="F661" s="5">
        <f>VLOOKUP(E661,'PESOS SUBGRUPOS'!B$2:C$193,2,FALSE)</f>
        <v>10</v>
      </c>
      <c r="G661" s="6" t="s">
        <v>399</v>
      </c>
      <c r="H661" s="7" t="s">
        <v>15</v>
      </c>
      <c r="I661" s="5">
        <v>10</v>
      </c>
      <c r="M661" s="5" t="s">
        <v>500</v>
      </c>
    </row>
    <row r="662" spans="1:13" x14ac:dyDescent="0.25">
      <c r="A662" s="4">
        <v>793</v>
      </c>
      <c r="B662" s="5" t="s">
        <v>11</v>
      </c>
      <c r="C662" s="6" t="s">
        <v>381</v>
      </c>
      <c r="D662" s="5">
        <f>VLOOKUP(C662,'PESO GRUPO'!A$1:B$9,2,FALSE)</f>
        <v>20</v>
      </c>
      <c r="E662" s="6" t="s">
        <v>409</v>
      </c>
      <c r="F662" s="5">
        <f>VLOOKUP(E662,'PESOS SUBGRUPOS'!B$2:C$193,2,FALSE)</f>
        <v>10</v>
      </c>
      <c r="G662" s="6" t="s">
        <v>400</v>
      </c>
      <c r="H662" s="7" t="s">
        <v>15</v>
      </c>
      <c r="I662" s="5">
        <v>10</v>
      </c>
      <c r="M662" s="5" t="s">
        <v>500</v>
      </c>
    </row>
    <row r="663" spans="1:13" x14ac:dyDescent="0.25">
      <c r="A663" s="4">
        <v>794</v>
      </c>
      <c r="B663" s="5" t="s">
        <v>11</v>
      </c>
      <c r="C663" s="6" t="s">
        <v>381</v>
      </c>
      <c r="D663" s="5">
        <f>VLOOKUP(C663,'PESO GRUPO'!A$1:B$9,2,FALSE)</f>
        <v>20</v>
      </c>
      <c r="E663" s="6" t="s">
        <v>409</v>
      </c>
      <c r="F663" s="5">
        <f>VLOOKUP(E663,'PESOS SUBGRUPOS'!B$2:C$193,2,FALSE)</f>
        <v>10</v>
      </c>
      <c r="G663" s="6" t="s">
        <v>401</v>
      </c>
      <c r="H663" s="7" t="s">
        <v>15</v>
      </c>
      <c r="I663" s="5">
        <v>10</v>
      </c>
      <c r="M663" s="5" t="s">
        <v>500</v>
      </c>
    </row>
    <row r="664" spans="1:13" x14ac:dyDescent="0.25">
      <c r="A664" s="4">
        <v>795</v>
      </c>
      <c r="B664" s="5" t="s">
        <v>16</v>
      </c>
      <c r="C664" s="6" t="s">
        <v>381</v>
      </c>
      <c r="D664" s="5">
        <f>VLOOKUP(C664,'PESO GRUPO'!A$1:B$9,2,FALSE)</f>
        <v>20</v>
      </c>
      <c r="E664" s="6" t="s">
        <v>410</v>
      </c>
      <c r="F664" s="5">
        <f>VLOOKUP(E664,'PESOS SUBGRUPOS'!B$2:C$193,2,FALSE)</f>
        <v>10</v>
      </c>
      <c r="G664" s="6" t="s">
        <v>383</v>
      </c>
      <c r="H664" s="7" t="s">
        <v>15</v>
      </c>
      <c r="I664" s="5">
        <v>0</v>
      </c>
      <c r="M664" s="5" t="s">
        <v>500</v>
      </c>
    </row>
    <row r="665" spans="1:13" x14ac:dyDescent="0.25">
      <c r="A665" s="4">
        <v>796</v>
      </c>
      <c r="B665" s="5" t="s">
        <v>11</v>
      </c>
      <c r="C665" s="6" t="s">
        <v>381</v>
      </c>
      <c r="D665" s="5">
        <f>VLOOKUP(C665,'PESO GRUPO'!A$1:B$9,2,FALSE)</f>
        <v>20</v>
      </c>
      <c r="E665" s="6" t="s">
        <v>410</v>
      </c>
      <c r="F665" s="5">
        <f>VLOOKUP(E665,'PESOS SUBGRUPOS'!B$2:C$193,2,FALSE)</f>
        <v>10</v>
      </c>
      <c r="G665" s="6" t="s">
        <v>384</v>
      </c>
      <c r="H665" s="7" t="s">
        <v>15</v>
      </c>
      <c r="I665" s="5">
        <v>10</v>
      </c>
      <c r="M665" s="5" t="s">
        <v>500</v>
      </c>
    </row>
    <row r="666" spans="1:13" x14ac:dyDescent="0.25">
      <c r="A666" s="4">
        <v>797</v>
      </c>
      <c r="B666" s="5" t="s">
        <v>11</v>
      </c>
      <c r="C666" s="6" t="s">
        <v>381</v>
      </c>
      <c r="D666" s="5">
        <f>VLOOKUP(C666,'PESO GRUPO'!A$1:B$9,2,FALSE)</f>
        <v>20</v>
      </c>
      <c r="E666" s="6" t="s">
        <v>410</v>
      </c>
      <c r="F666" s="5">
        <f>VLOOKUP(E666,'PESOS SUBGRUPOS'!B$2:C$193,2,FALSE)</f>
        <v>10</v>
      </c>
      <c r="G666" s="6" t="s">
        <v>385</v>
      </c>
      <c r="H666" s="7" t="s">
        <v>15</v>
      </c>
      <c r="I666" s="5">
        <v>20</v>
      </c>
      <c r="M666" s="5" t="s">
        <v>500</v>
      </c>
    </row>
    <row r="667" spans="1:13" x14ac:dyDescent="0.25">
      <c r="A667" s="4">
        <v>798</v>
      </c>
      <c r="B667" s="5" t="s">
        <v>11</v>
      </c>
      <c r="C667" s="6" t="s">
        <v>381</v>
      </c>
      <c r="D667" s="5">
        <f>VLOOKUP(C667,'PESO GRUPO'!A$1:B$9,2,FALSE)</f>
        <v>20</v>
      </c>
      <c r="E667" s="6" t="s">
        <v>410</v>
      </c>
      <c r="F667" s="5">
        <f>VLOOKUP(E667,'PESOS SUBGRUPOS'!B$2:C$193,2,FALSE)</f>
        <v>10</v>
      </c>
      <c r="G667" s="6" t="s">
        <v>386</v>
      </c>
      <c r="H667" s="7" t="s">
        <v>15</v>
      </c>
      <c r="I667" s="5">
        <v>30</v>
      </c>
      <c r="M667" s="5" t="s">
        <v>500</v>
      </c>
    </row>
    <row r="668" spans="1:13" x14ac:dyDescent="0.25">
      <c r="A668" s="4">
        <v>799</v>
      </c>
      <c r="B668" s="5" t="s">
        <v>11</v>
      </c>
      <c r="C668" s="6" t="s">
        <v>381</v>
      </c>
      <c r="D668" s="5">
        <f>VLOOKUP(C668,'PESO GRUPO'!A$1:B$9,2,FALSE)</f>
        <v>20</v>
      </c>
      <c r="E668" s="6" t="s">
        <v>410</v>
      </c>
      <c r="F668" s="5">
        <f>VLOOKUP(E668,'PESOS SUBGRUPOS'!B$2:C$193,2,FALSE)</f>
        <v>10</v>
      </c>
      <c r="G668" s="6" t="s">
        <v>387</v>
      </c>
      <c r="H668" s="7" t="s">
        <v>15</v>
      </c>
      <c r="I668" s="5">
        <v>30</v>
      </c>
      <c r="M668" s="5" t="s">
        <v>500</v>
      </c>
    </row>
    <row r="669" spans="1:13" x14ac:dyDescent="0.25">
      <c r="A669" s="4">
        <v>800</v>
      </c>
      <c r="B669" s="5" t="s">
        <v>11</v>
      </c>
      <c r="C669" s="6" t="s">
        <v>381</v>
      </c>
      <c r="D669" s="5">
        <f>VLOOKUP(C669,'PESO GRUPO'!A$1:B$9,2,FALSE)</f>
        <v>20</v>
      </c>
      <c r="E669" s="6" t="s">
        <v>410</v>
      </c>
      <c r="F669" s="5">
        <f>VLOOKUP(E669,'PESOS SUBGRUPOS'!B$2:C$193,2,FALSE)</f>
        <v>10</v>
      </c>
      <c r="G669" s="6" t="s">
        <v>370</v>
      </c>
      <c r="H669" s="7" t="s">
        <v>15</v>
      </c>
      <c r="I669" s="5">
        <v>20</v>
      </c>
      <c r="M669" s="5" t="s">
        <v>500</v>
      </c>
    </row>
    <row r="670" spans="1:13" x14ac:dyDescent="0.25">
      <c r="A670" s="4">
        <v>801</v>
      </c>
      <c r="B670" s="5" t="s">
        <v>11</v>
      </c>
      <c r="C670" s="6" t="s">
        <v>381</v>
      </c>
      <c r="D670" s="5">
        <f>VLOOKUP(C670,'PESO GRUPO'!A$1:B$9,2,FALSE)</f>
        <v>20</v>
      </c>
      <c r="E670" s="6" t="s">
        <v>410</v>
      </c>
      <c r="F670" s="5">
        <f>VLOOKUP(E670,'PESOS SUBGRUPOS'!B$2:C$193,2,FALSE)</f>
        <v>10</v>
      </c>
      <c r="G670" s="6" t="s">
        <v>388</v>
      </c>
      <c r="H670" s="7" t="s">
        <v>15</v>
      </c>
      <c r="I670" s="5">
        <v>10</v>
      </c>
      <c r="M670" s="5" t="s">
        <v>500</v>
      </c>
    </row>
    <row r="671" spans="1:13" x14ac:dyDescent="0.25">
      <c r="A671" s="4">
        <v>802</v>
      </c>
      <c r="B671" s="5" t="s">
        <v>11</v>
      </c>
      <c r="C671" s="6" t="s">
        <v>381</v>
      </c>
      <c r="D671" s="5">
        <f>VLOOKUP(C671,'PESO GRUPO'!A$1:B$9,2,FALSE)</f>
        <v>20</v>
      </c>
      <c r="E671" s="6" t="s">
        <v>410</v>
      </c>
      <c r="F671" s="5">
        <f>VLOOKUP(E671,'PESOS SUBGRUPOS'!B$2:C$193,2,FALSE)</f>
        <v>10</v>
      </c>
      <c r="G671" s="6" t="s">
        <v>389</v>
      </c>
      <c r="H671" s="7" t="s">
        <v>15</v>
      </c>
      <c r="I671" s="5">
        <v>10</v>
      </c>
      <c r="M671" s="5" t="s">
        <v>500</v>
      </c>
    </row>
    <row r="672" spans="1:13" x14ac:dyDescent="0.25">
      <c r="A672" s="4">
        <v>803</v>
      </c>
      <c r="B672" s="5" t="s">
        <v>11</v>
      </c>
      <c r="C672" s="6" t="s">
        <v>381</v>
      </c>
      <c r="D672" s="5">
        <f>VLOOKUP(C672,'PESO GRUPO'!A$1:B$9,2,FALSE)</f>
        <v>20</v>
      </c>
      <c r="E672" s="6" t="s">
        <v>410</v>
      </c>
      <c r="F672" s="5">
        <f>VLOOKUP(E672,'PESOS SUBGRUPOS'!B$2:C$193,2,FALSE)</f>
        <v>10</v>
      </c>
      <c r="G672" s="6" t="s">
        <v>390</v>
      </c>
      <c r="H672" s="7" t="s">
        <v>15</v>
      </c>
      <c r="I672" s="5">
        <v>10</v>
      </c>
      <c r="M672" s="5" t="s">
        <v>500</v>
      </c>
    </row>
    <row r="673" spans="1:13" x14ac:dyDescent="0.25">
      <c r="A673" s="4">
        <v>804</v>
      </c>
      <c r="B673" s="5" t="s">
        <v>11</v>
      </c>
      <c r="C673" s="6" t="s">
        <v>381</v>
      </c>
      <c r="D673" s="5">
        <f>VLOOKUP(C673,'PESO GRUPO'!A$1:B$9,2,FALSE)</f>
        <v>20</v>
      </c>
      <c r="E673" s="6" t="s">
        <v>410</v>
      </c>
      <c r="F673" s="5">
        <f>VLOOKUP(E673,'PESOS SUBGRUPOS'!B$2:C$193,2,FALSE)</f>
        <v>10</v>
      </c>
      <c r="G673" s="6" t="s">
        <v>471</v>
      </c>
      <c r="H673" s="7" t="s">
        <v>15</v>
      </c>
      <c r="I673" s="5">
        <v>10</v>
      </c>
      <c r="M673" s="5" t="s">
        <v>500</v>
      </c>
    </row>
    <row r="674" spans="1:13" x14ac:dyDescent="0.25">
      <c r="A674" s="4">
        <v>805</v>
      </c>
      <c r="B674" s="5" t="s">
        <v>11</v>
      </c>
      <c r="C674" s="6" t="s">
        <v>381</v>
      </c>
      <c r="D674" s="5">
        <f>VLOOKUP(C674,'PESO GRUPO'!A$1:B$9,2,FALSE)</f>
        <v>20</v>
      </c>
      <c r="E674" s="6" t="s">
        <v>410</v>
      </c>
      <c r="F674" s="5">
        <f>VLOOKUP(E674,'PESOS SUBGRUPOS'!B$2:C$193,2,FALSE)</f>
        <v>10</v>
      </c>
      <c r="G674" s="6" t="s">
        <v>391</v>
      </c>
      <c r="H674" s="7" t="s">
        <v>15</v>
      </c>
      <c r="I674" s="5">
        <v>10</v>
      </c>
      <c r="M674" s="5" t="s">
        <v>500</v>
      </c>
    </row>
    <row r="675" spans="1:13" x14ac:dyDescent="0.25">
      <c r="A675" s="4">
        <v>806</v>
      </c>
      <c r="B675" s="5" t="s">
        <v>11</v>
      </c>
      <c r="C675" s="6" t="s">
        <v>381</v>
      </c>
      <c r="D675" s="5">
        <f>VLOOKUP(C675,'PESO GRUPO'!A$1:B$9,2,FALSE)</f>
        <v>20</v>
      </c>
      <c r="E675" s="6" t="s">
        <v>410</v>
      </c>
      <c r="F675" s="5">
        <f>VLOOKUP(E675,'PESOS SUBGRUPOS'!B$2:C$193,2,FALSE)</f>
        <v>10</v>
      </c>
      <c r="G675" s="6" t="s">
        <v>392</v>
      </c>
      <c r="H675" s="7" t="s">
        <v>15</v>
      </c>
      <c r="I675" s="5">
        <v>10</v>
      </c>
      <c r="M675" s="5" t="s">
        <v>500</v>
      </c>
    </row>
    <row r="676" spans="1:13" x14ac:dyDescent="0.25">
      <c r="A676" s="4">
        <v>807</v>
      </c>
      <c r="B676" s="5" t="s">
        <v>11</v>
      </c>
      <c r="C676" s="6" t="s">
        <v>381</v>
      </c>
      <c r="D676" s="5">
        <f>VLOOKUP(C676,'PESO GRUPO'!A$1:B$9,2,FALSE)</f>
        <v>20</v>
      </c>
      <c r="E676" s="6" t="s">
        <v>410</v>
      </c>
      <c r="F676" s="5">
        <f>VLOOKUP(E676,'PESOS SUBGRUPOS'!B$2:C$193,2,FALSE)</f>
        <v>10</v>
      </c>
      <c r="G676" s="6" t="s">
        <v>337</v>
      </c>
      <c r="H676" s="7" t="s">
        <v>15</v>
      </c>
      <c r="I676" s="5">
        <v>30</v>
      </c>
      <c r="M676" s="5" t="s">
        <v>500</v>
      </c>
    </row>
    <row r="677" spans="1:13" x14ac:dyDescent="0.25">
      <c r="A677" s="4">
        <v>808</v>
      </c>
      <c r="B677" s="5" t="s">
        <v>11</v>
      </c>
      <c r="C677" s="6" t="s">
        <v>381</v>
      </c>
      <c r="D677" s="5">
        <f>VLOOKUP(C677,'PESO GRUPO'!A$1:B$9,2,FALSE)</f>
        <v>20</v>
      </c>
      <c r="E677" s="6" t="s">
        <v>410</v>
      </c>
      <c r="F677" s="5">
        <f>VLOOKUP(E677,'PESOS SUBGRUPOS'!B$2:C$193,2,FALSE)</f>
        <v>10</v>
      </c>
      <c r="G677" s="6" t="s">
        <v>393</v>
      </c>
      <c r="H677" s="7" t="s">
        <v>15</v>
      </c>
      <c r="I677" s="5">
        <v>10</v>
      </c>
      <c r="M677" s="5" t="s">
        <v>500</v>
      </c>
    </row>
    <row r="678" spans="1:13" x14ac:dyDescent="0.25">
      <c r="A678" s="4">
        <v>809</v>
      </c>
      <c r="B678" s="5" t="s">
        <v>11</v>
      </c>
      <c r="C678" s="6" t="s">
        <v>381</v>
      </c>
      <c r="D678" s="5">
        <f>VLOOKUP(C678,'PESO GRUPO'!A$1:B$9,2,FALSE)</f>
        <v>20</v>
      </c>
      <c r="E678" s="6" t="s">
        <v>410</v>
      </c>
      <c r="F678" s="5">
        <f>VLOOKUP(E678,'PESOS SUBGRUPOS'!B$2:C$193,2,FALSE)</f>
        <v>10</v>
      </c>
      <c r="G678" s="6" t="s">
        <v>394</v>
      </c>
      <c r="H678" s="7" t="s">
        <v>15</v>
      </c>
      <c r="I678" s="5">
        <v>30</v>
      </c>
      <c r="M678" s="5" t="s">
        <v>500</v>
      </c>
    </row>
    <row r="679" spans="1:13" x14ac:dyDescent="0.25">
      <c r="A679" s="4">
        <v>810</v>
      </c>
      <c r="B679" s="5" t="s">
        <v>11</v>
      </c>
      <c r="C679" s="6" t="s">
        <v>381</v>
      </c>
      <c r="D679" s="5">
        <f>VLOOKUP(C679,'PESO GRUPO'!A$1:B$9,2,FALSE)</f>
        <v>20</v>
      </c>
      <c r="E679" s="6" t="s">
        <v>410</v>
      </c>
      <c r="F679" s="5">
        <f>VLOOKUP(E679,'PESOS SUBGRUPOS'!B$2:C$193,2,FALSE)</f>
        <v>10</v>
      </c>
      <c r="G679" s="6" t="s">
        <v>395</v>
      </c>
      <c r="H679" s="7" t="s">
        <v>15</v>
      </c>
      <c r="I679" s="5">
        <v>10</v>
      </c>
      <c r="M679" s="5" t="s">
        <v>500</v>
      </c>
    </row>
    <row r="680" spans="1:13" x14ac:dyDescent="0.25">
      <c r="A680" s="4">
        <v>811</v>
      </c>
      <c r="B680" s="5" t="s">
        <v>11</v>
      </c>
      <c r="C680" s="6" t="s">
        <v>381</v>
      </c>
      <c r="D680" s="5">
        <f>VLOOKUP(C680,'PESO GRUPO'!A$1:B$9,2,FALSE)</f>
        <v>20</v>
      </c>
      <c r="E680" s="6" t="s">
        <v>410</v>
      </c>
      <c r="F680" s="5">
        <f>VLOOKUP(E680,'PESOS SUBGRUPOS'!B$2:C$193,2,FALSE)</f>
        <v>10</v>
      </c>
      <c r="G680" s="6" t="s">
        <v>396</v>
      </c>
      <c r="H680" s="7" t="s">
        <v>15</v>
      </c>
      <c r="I680" s="5">
        <v>20</v>
      </c>
      <c r="M680" s="5" t="s">
        <v>500</v>
      </c>
    </row>
    <row r="681" spans="1:13" x14ac:dyDescent="0.25">
      <c r="A681" s="4">
        <v>812</v>
      </c>
      <c r="B681" s="5" t="s">
        <v>11</v>
      </c>
      <c r="C681" s="6" t="s">
        <v>381</v>
      </c>
      <c r="D681" s="5">
        <f>VLOOKUP(C681,'PESO GRUPO'!A$1:B$9,2,FALSE)</f>
        <v>20</v>
      </c>
      <c r="E681" s="6" t="s">
        <v>410</v>
      </c>
      <c r="F681" s="5">
        <f>VLOOKUP(E681,'PESOS SUBGRUPOS'!B$2:C$193,2,FALSE)</f>
        <v>10</v>
      </c>
      <c r="G681" s="6" t="s">
        <v>397</v>
      </c>
      <c r="H681" s="7" t="s">
        <v>15</v>
      </c>
      <c r="I681" s="5">
        <v>20</v>
      </c>
      <c r="M681" s="5" t="s">
        <v>500</v>
      </c>
    </row>
    <row r="682" spans="1:13" x14ac:dyDescent="0.25">
      <c r="A682" s="4">
        <v>813</v>
      </c>
      <c r="B682" s="5" t="s">
        <v>11</v>
      </c>
      <c r="C682" s="6" t="s">
        <v>381</v>
      </c>
      <c r="D682" s="5">
        <f>VLOOKUP(C682,'PESO GRUPO'!A$1:B$9,2,FALSE)</f>
        <v>20</v>
      </c>
      <c r="E682" s="6" t="s">
        <v>410</v>
      </c>
      <c r="F682" s="5">
        <f>VLOOKUP(E682,'PESOS SUBGRUPOS'!B$2:C$193,2,FALSE)</f>
        <v>10</v>
      </c>
      <c r="G682" s="6" t="s">
        <v>398</v>
      </c>
      <c r="H682" s="7" t="s">
        <v>15</v>
      </c>
      <c r="I682" s="5">
        <v>10</v>
      </c>
      <c r="M682" s="5" t="s">
        <v>500</v>
      </c>
    </row>
    <row r="683" spans="1:13" x14ac:dyDescent="0.25">
      <c r="A683" s="4">
        <v>814</v>
      </c>
      <c r="B683" s="5" t="s">
        <v>11</v>
      </c>
      <c r="C683" s="6" t="s">
        <v>381</v>
      </c>
      <c r="D683" s="5">
        <f>VLOOKUP(C683,'PESO GRUPO'!A$1:B$9,2,FALSE)</f>
        <v>20</v>
      </c>
      <c r="E683" s="6" t="s">
        <v>410</v>
      </c>
      <c r="F683" s="5">
        <f>VLOOKUP(E683,'PESOS SUBGRUPOS'!B$2:C$193,2,FALSE)</f>
        <v>10</v>
      </c>
      <c r="G683" s="6" t="s">
        <v>399</v>
      </c>
      <c r="H683" s="7" t="s">
        <v>15</v>
      </c>
      <c r="I683" s="5">
        <v>10</v>
      </c>
      <c r="M683" s="5" t="s">
        <v>500</v>
      </c>
    </row>
    <row r="684" spans="1:13" x14ac:dyDescent="0.25">
      <c r="A684" s="4">
        <v>815</v>
      </c>
      <c r="B684" s="5" t="s">
        <v>11</v>
      </c>
      <c r="C684" s="6" t="s">
        <v>381</v>
      </c>
      <c r="D684" s="5">
        <f>VLOOKUP(C684,'PESO GRUPO'!A$1:B$9,2,FALSE)</f>
        <v>20</v>
      </c>
      <c r="E684" s="6" t="s">
        <v>410</v>
      </c>
      <c r="F684" s="5">
        <f>VLOOKUP(E684,'PESOS SUBGRUPOS'!B$2:C$193,2,FALSE)</f>
        <v>10</v>
      </c>
      <c r="G684" s="6" t="s">
        <v>400</v>
      </c>
      <c r="H684" s="7" t="s">
        <v>15</v>
      </c>
      <c r="I684" s="5">
        <v>10</v>
      </c>
      <c r="M684" s="5" t="s">
        <v>500</v>
      </c>
    </row>
    <row r="685" spans="1:13" x14ac:dyDescent="0.25">
      <c r="A685" s="4">
        <v>816</v>
      </c>
      <c r="B685" s="5" t="s">
        <v>11</v>
      </c>
      <c r="C685" s="6" t="s">
        <v>381</v>
      </c>
      <c r="D685" s="5">
        <f>VLOOKUP(C685,'PESO GRUPO'!A$1:B$9,2,FALSE)</f>
        <v>20</v>
      </c>
      <c r="E685" s="6" t="s">
        <v>410</v>
      </c>
      <c r="F685" s="5">
        <f>VLOOKUP(E685,'PESOS SUBGRUPOS'!B$2:C$193,2,FALSE)</f>
        <v>10</v>
      </c>
      <c r="G685" s="6" t="s">
        <v>401</v>
      </c>
      <c r="H685" s="7" t="s">
        <v>15</v>
      </c>
      <c r="I685" s="5">
        <v>10</v>
      </c>
      <c r="M685" s="5" t="s">
        <v>500</v>
      </c>
    </row>
    <row r="686" spans="1:13" x14ac:dyDescent="0.25">
      <c r="A686" s="4">
        <v>817</v>
      </c>
      <c r="B686" s="5" t="s">
        <v>16</v>
      </c>
      <c r="C686" s="6" t="s">
        <v>381</v>
      </c>
      <c r="D686" s="5">
        <f>VLOOKUP(C686,'PESO GRUPO'!A$1:B$9,2,FALSE)</f>
        <v>20</v>
      </c>
      <c r="E686" s="6" t="s">
        <v>472</v>
      </c>
      <c r="F686" s="5">
        <f>VLOOKUP(E686,'PESOS SUBGRUPOS'!B$2:C$193,2,FALSE)</f>
        <v>10</v>
      </c>
      <c r="G686" s="6" t="s">
        <v>383</v>
      </c>
      <c r="H686" s="7" t="s">
        <v>15</v>
      </c>
      <c r="I686" s="5">
        <v>0</v>
      </c>
      <c r="M686" s="5" t="s">
        <v>500</v>
      </c>
    </row>
    <row r="687" spans="1:13" x14ac:dyDescent="0.25">
      <c r="A687" s="4">
        <v>818</v>
      </c>
      <c r="B687" s="5" t="s">
        <v>11</v>
      </c>
      <c r="C687" s="6" t="s">
        <v>381</v>
      </c>
      <c r="D687" s="5">
        <f>VLOOKUP(C687,'PESO GRUPO'!A$1:B$9,2,FALSE)</f>
        <v>20</v>
      </c>
      <c r="E687" s="6" t="s">
        <v>472</v>
      </c>
      <c r="F687" s="5">
        <f>VLOOKUP(E687,'PESOS SUBGRUPOS'!B$2:C$193,2,FALSE)</f>
        <v>10</v>
      </c>
      <c r="G687" s="6" t="s">
        <v>384</v>
      </c>
      <c r="H687" s="7" t="s">
        <v>15</v>
      </c>
      <c r="I687" s="5">
        <v>10</v>
      </c>
      <c r="M687" s="5" t="s">
        <v>500</v>
      </c>
    </row>
    <row r="688" spans="1:13" x14ac:dyDescent="0.25">
      <c r="A688" s="4">
        <v>819</v>
      </c>
      <c r="B688" s="5" t="s">
        <v>11</v>
      </c>
      <c r="C688" s="6" t="s">
        <v>381</v>
      </c>
      <c r="D688" s="5">
        <f>VLOOKUP(C688,'PESO GRUPO'!A$1:B$9,2,FALSE)</f>
        <v>20</v>
      </c>
      <c r="E688" s="6" t="s">
        <v>472</v>
      </c>
      <c r="F688" s="5">
        <f>VLOOKUP(E688,'PESOS SUBGRUPOS'!B$2:C$193,2,FALSE)</f>
        <v>10</v>
      </c>
      <c r="G688" s="6" t="s">
        <v>385</v>
      </c>
      <c r="H688" s="7" t="s">
        <v>15</v>
      </c>
      <c r="I688" s="5">
        <v>20</v>
      </c>
      <c r="M688" s="5" t="s">
        <v>500</v>
      </c>
    </row>
    <row r="689" spans="1:13" x14ac:dyDescent="0.25">
      <c r="A689" s="4">
        <v>820</v>
      </c>
      <c r="B689" s="5" t="s">
        <v>11</v>
      </c>
      <c r="C689" s="6" t="s">
        <v>381</v>
      </c>
      <c r="D689" s="5">
        <f>VLOOKUP(C689,'PESO GRUPO'!A$1:B$9,2,FALSE)</f>
        <v>20</v>
      </c>
      <c r="E689" s="6" t="s">
        <v>472</v>
      </c>
      <c r="F689" s="5">
        <f>VLOOKUP(E689,'PESOS SUBGRUPOS'!B$2:C$193,2,FALSE)</f>
        <v>10</v>
      </c>
      <c r="G689" s="6" t="s">
        <v>386</v>
      </c>
      <c r="H689" s="7" t="s">
        <v>15</v>
      </c>
      <c r="I689" s="5">
        <v>30</v>
      </c>
      <c r="M689" s="5" t="s">
        <v>500</v>
      </c>
    </row>
    <row r="690" spans="1:13" x14ac:dyDescent="0.25">
      <c r="A690" s="4">
        <v>821</v>
      </c>
      <c r="B690" s="5" t="s">
        <v>11</v>
      </c>
      <c r="C690" s="6" t="s">
        <v>381</v>
      </c>
      <c r="D690" s="5">
        <f>VLOOKUP(C690,'PESO GRUPO'!A$1:B$9,2,FALSE)</f>
        <v>20</v>
      </c>
      <c r="E690" s="6" t="s">
        <v>472</v>
      </c>
      <c r="F690" s="5">
        <f>VLOOKUP(E690,'PESOS SUBGRUPOS'!B$2:C$193,2,FALSE)</f>
        <v>10</v>
      </c>
      <c r="G690" s="6" t="s">
        <v>387</v>
      </c>
      <c r="H690" s="7" t="s">
        <v>15</v>
      </c>
      <c r="I690" s="5">
        <v>30</v>
      </c>
      <c r="M690" s="5" t="s">
        <v>500</v>
      </c>
    </row>
    <row r="691" spans="1:13" x14ac:dyDescent="0.25">
      <c r="A691" s="4">
        <v>822</v>
      </c>
      <c r="B691" s="5" t="s">
        <v>11</v>
      </c>
      <c r="C691" s="6" t="s">
        <v>381</v>
      </c>
      <c r="D691" s="5">
        <f>VLOOKUP(C691,'PESO GRUPO'!A$1:B$9,2,FALSE)</f>
        <v>20</v>
      </c>
      <c r="E691" s="6" t="s">
        <v>472</v>
      </c>
      <c r="F691" s="5">
        <f>VLOOKUP(E691,'PESOS SUBGRUPOS'!B$2:C$193,2,FALSE)</f>
        <v>10</v>
      </c>
      <c r="G691" s="6" t="s">
        <v>370</v>
      </c>
      <c r="H691" s="7" t="s">
        <v>15</v>
      </c>
      <c r="I691" s="5">
        <v>20</v>
      </c>
      <c r="M691" s="5" t="s">
        <v>500</v>
      </c>
    </row>
    <row r="692" spans="1:13" x14ac:dyDescent="0.25">
      <c r="A692" s="4">
        <v>823</v>
      </c>
      <c r="B692" s="5" t="s">
        <v>11</v>
      </c>
      <c r="C692" s="6" t="s">
        <v>381</v>
      </c>
      <c r="D692" s="5">
        <f>VLOOKUP(C692,'PESO GRUPO'!A$1:B$9,2,FALSE)</f>
        <v>20</v>
      </c>
      <c r="E692" s="6" t="s">
        <v>472</v>
      </c>
      <c r="F692" s="5">
        <f>VLOOKUP(E692,'PESOS SUBGRUPOS'!B$2:C$193,2,FALSE)</f>
        <v>10</v>
      </c>
      <c r="G692" s="6" t="s">
        <v>388</v>
      </c>
      <c r="H692" s="7" t="s">
        <v>15</v>
      </c>
      <c r="I692" s="5">
        <v>10</v>
      </c>
      <c r="M692" s="5" t="s">
        <v>500</v>
      </c>
    </row>
    <row r="693" spans="1:13" x14ac:dyDescent="0.25">
      <c r="A693" s="4">
        <v>824</v>
      </c>
      <c r="B693" s="5" t="s">
        <v>11</v>
      </c>
      <c r="C693" s="6" t="s">
        <v>381</v>
      </c>
      <c r="D693" s="5">
        <f>VLOOKUP(C693,'PESO GRUPO'!A$1:B$9,2,FALSE)</f>
        <v>20</v>
      </c>
      <c r="E693" s="6" t="s">
        <v>472</v>
      </c>
      <c r="F693" s="5">
        <f>VLOOKUP(E693,'PESOS SUBGRUPOS'!B$2:C$193,2,FALSE)</f>
        <v>10</v>
      </c>
      <c r="G693" s="6" t="s">
        <v>389</v>
      </c>
      <c r="H693" s="7" t="s">
        <v>15</v>
      </c>
      <c r="I693" s="5">
        <v>10</v>
      </c>
      <c r="M693" s="5" t="s">
        <v>500</v>
      </c>
    </row>
    <row r="694" spans="1:13" x14ac:dyDescent="0.25">
      <c r="A694" s="4">
        <v>825</v>
      </c>
      <c r="B694" s="5" t="s">
        <v>11</v>
      </c>
      <c r="C694" s="6" t="s">
        <v>381</v>
      </c>
      <c r="D694" s="5">
        <f>VLOOKUP(C694,'PESO GRUPO'!A$1:B$9,2,FALSE)</f>
        <v>20</v>
      </c>
      <c r="E694" s="6" t="s">
        <v>472</v>
      </c>
      <c r="F694" s="5">
        <f>VLOOKUP(E694,'PESOS SUBGRUPOS'!B$2:C$193,2,FALSE)</f>
        <v>10</v>
      </c>
      <c r="G694" s="6" t="s">
        <v>390</v>
      </c>
      <c r="H694" s="7" t="s">
        <v>15</v>
      </c>
      <c r="I694" s="5">
        <v>10</v>
      </c>
      <c r="M694" s="5" t="s">
        <v>500</v>
      </c>
    </row>
    <row r="695" spans="1:13" x14ac:dyDescent="0.25">
      <c r="A695" s="4">
        <v>826</v>
      </c>
      <c r="B695" s="5" t="s">
        <v>11</v>
      </c>
      <c r="C695" s="6" t="s">
        <v>381</v>
      </c>
      <c r="D695" s="5">
        <f>VLOOKUP(C695,'PESO GRUPO'!A$1:B$9,2,FALSE)</f>
        <v>20</v>
      </c>
      <c r="E695" s="6" t="s">
        <v>472</v>
      </c>
      <c r="F695" s="5">
        <f>VLOOKUP(E695,'PESOS SUBGRUPOS'!B$2:C$193,2,FALSE)</f>
        <v>10</v>
      </c>
      <c r="G695" s="6" t="s">
        <v>471</v>
      </c>
      <c r="H695" s="7" t="s">
        <v>15</v>
      </c>
      <c r="I695" s="5">
        <v>10</v>
      </c>
      <c r="M695" s="5" t="s">
        <v>500</v>
      </c>
    </row>
    <row r="696" spans="1:13" x14ac:dyDescent="0.25">
      <c r="A696" s="4">
        <v>827</v>
      </c>
      <c r="B696" s="5" t="s">
        <v>11</v>
      </c>
      <c r="C696" s="6" t="s">
        <v>381</v>
      </c>
      <c r="D696" s="5">
        <f>VLOOKUP(C696,'PESO GRUPO'!A$1:B$9,2,FALSE)</f>
        <v>20</v>
      </c>
      <c r="E696" s="6" t="s">
        <v>472</v>
      </c>
      <c r="F696" s="5">
        <f>VLOOKUP(E696,'PESOS SUBGRUPOS'!B$2:C$193,2,FALSE)</f>
        <v>10</v>
      </c>
      <c r="G696" s="6" t="s">
        <v>391</v>
      </c>
      <c r="H696" s="7" t="s">
        <v>15</v>
      </c>
      <c r="I696" s="5">
        <v>10</v>
      </c>
      <c r="M696" s="5" t="s">
        <v>500</v>
      </c>
    </row>
    <row r="697" spans="1:13" x14ac:dyDescent="0.25">
      <c r="A697" s="4">
        <v>828</v>
      </c>
      <c r="B697" s="5" t="s">
        <v>11</v>
      </c>
      <c r="C697" s="6" t="s">
        <v>381</v>
      </c>
      <c r="D697" s="5">
        <f>VLOOKUP(C697,'PESO GRUPO'!A$1:B$9,2,FALSE)</f>
        <v>20</v>
      </c>
      <c r="E697" s="6" t="s">
        <v>472</v>
      </c>
      <c r="F697" s="5">
        <f>VLOOKUP(E697,'PESOS SUBGRUPOS'!B$2:C$193,2,FALSE)</f>
        <v>10</v>
      </c>
      <c r="G697" s="6" t="s">
        <v>392</v>
      </c>
      <c r="H697" s="7" t="s">
        <v>15</v>
      </c>
      <c r="I697" s="5">
        <v>10</v>
      </c>
      <c r="M697" s="5" t="s">
        <v>500</v>
      </c>
    </row>
    <row r="698" spans="1:13" x14ac:dyDescent="0.25">
      <c r="A698" s="4">
        <v>829</v>
      </c>
      <c r="B698" s="5" t="s">
        <v>11</v>
      </c>
      <c r="C698" s="6" t="s">
        <v>381</v>
      </c>
      <c r="D698" s="5">
        <f>VLOOKUP(C698,'PESO GRUPO'!A$1:B$9,2,FALSE)</f>
        <v>20</v>
      </c>
      <c r="E698" s="6" t="s">
        <v>472</v>
      </c>
      <c r="F698" s="5">
        <f>VLOOKUP(E698,'PESOS SUBGRUPOS'!B$2:C$193,2,FALSE)</f>
        <v>10</v>
      </c>
      <c r="G698" s="6" t="s">
        <v>337</v>
      </c>
      <c r="H698" s="7" t="s">
        <v>15</v>
      </c>
      <c r="I698" s="5">
        <v>30</v>
      </c>
      <c r="M698" s="5" t="s">
        <v>500</v>
      </c>
    </row>
    <row r="699" spans="1:13" x14ac:dyDescent="0.25">
      <c r="A699" s="4">
        <v>830</v>
      </c>
      <c r="B699" s="5" t="s">
        <v>11</v>
      </c>
      <c r="C699" s="6" t="s">
        <v>381</v>
      </c>
      <c r="D699" s="5">
        <f>VLOOKUP(C699,'PESO GRUPO'!A$1:B$9,2,FALSE)</f>
        <v>20</v>
      </c>
      <c r="E699" s="6" t="s">
        <v>472</v>
      </c>
      <c r="F699" s="5">
        <f>VLOOKUP(E699,'PESOS SUBGRUPOS'!B$2:C$193,2,FALSE)</f>
        <v>10</v>
      </c>
      <c r="G699" s="6" t="s">
        <v>393</v>
      </c>
      <c r="H699" s="7" t="s">
        <v>15</v>
      </c>
      <c r="I699" s="5">
        <v>10</v>
      </c>
      <c r="M699" s="5" t="s">
        <v>500</v>
      </c>
    </row>
    <row r="700" spans="1:13" x14ac:dyDescent="0.25">
      <c r="A700" s="4">
        <v>831</v>
      </c>
      <c r="B700" s="5" t="s">
        <v>11</v>
      </c>
      <c r="C700" s="6" t="s">
        <v>381</v>
      </c>
      <c r="D700" s="5">
        <f>VLOOKUP(C700,'PESO GRUPO'!A$1:B$9,2,FALSE)</f>
        <v>20</v>
      </c>
      <c r="E700" s="6" t="s">
        <v>472</v>
      </c>
      <c r="F700" s="5">
        <f>VLOOKUP(E700,'PESOS SUBGRUPOS'!B$2:C$193,2,FALSE)</f>
        <v>10</v>
      </c>
      <c r="G700" s="6" t="s">
        <v>394</v>
      </c>
      <c r="H700" s="7" t="s">
        <v>15</v>
      </c>
      <c r="I700" s="5">
        <v>30</v>
      </c>
      <c r="M700" s="5" t="s">
        <v>500</v>
      </c>
    </row>
    <row r="701" spans="1:13" x14ac:dyDescent="0.25">
      <c r="A701" s="4">
        <v>832</v>
      </c>
      <c r="B701" s="5" t="s">
        <v>11</v>
      </c>
      <c r="C701" s="6" t="s">
        <v>381</v>
      </c>
      <c r="D701" s="5">
        <f>VLOOKUP(C701,'PESO GRUPO'!A$1:B$9,2,FALSE)</f>
        <v>20</v>
      </c>
      <c r="E701" s="6" t="s">
        <v>472</v>
      </c>
      <c r="F701" s="5">
        <f>VLOOKUP(E701,'PESOS SUBGRUPOS'!B$2:C$193,2,FALSE)</f>
        <v>10</v>
      </c>
      <c r="G701" s="6" t="s">
        <v>395</v>
      </c>
      <c r="H701" s="7" t="s">
        <v>15</v>
      </c>
      <c r="I701" s="5">
        <v>10</v>
      </c>
      <c r="M701" s="5" t="s">
        <v>500</v>
      </c>
    </row>
    <row r="702" spans="1:13" x14ac:dyDescent="0.25">
      <c r="A702" s="4">
        <v>833</v>
      </c>
      <c r="B702" s="5" t="s">
        <v>11</v>
      </c>
      <c r="C702" s="6" t="s">
        <v>381</v>
      </c>
      <c r="D702" s="5">
        <f>VLOOKUP(C702,'PESO GRUPO'!A$1:B$9,2,FALSE)</f>
        <v>20</v>
      </c>
      <c r="E702" s="6" t="s">
        <v>472</v>
      </c>
      <c r="F702" s="5">
        <f>VLOOKUP(E702,'PESOS SUBGRUPOS'!B$2:C$193,2,FALSE)</f>
        <v>10</v>
      </c>
      <c r="G702" s="6" t="s">
        <v>396</v>
      </c>
      <c r="H702" s="7" t="s">
        <v>15</v>
      </c>
      <c r="I702" s="5">
        <v>20</v>
      </c>
      <c r="M702" s="5" t="s">
        <v>500</v>
      </c>
    </row>
    <row r="703" spans="1:13" x14ac:dyDescent="0.25">
      <c r="A703" s="4">
        <v>834</v>
      </c>
      <c r="B703" s="5" t="s">
        <v>11</v>
      </c>
      <c r="C703" s="6" t="s">
        <v>381</v>
      </c>
      <c r="D703" s="5">
        <f>VLOOKUP(C703,'PESO GRUPO'!A$1:B$9,2,FALSE)</f>
        <v>20</v>
      </c>
      <c r="E703" s="6" t="s">
        <v>472</v>
      </c>
      <c r="F703" s="5">
        <f>VLOOKUP(E703,'PESOS SUBGRUPOS'!B$2:C$193,2,FALSE)</f>
        <v>10</v>
      </c>
      <c r="G703" s="6" t="s">
        <v>397</v>
      </c>
      <c r="H703" s="7" t="s">
        <v>15</v>
      </c>
      <c r="I703" s="5">
        <v>20</v>
      </c>
      <c r="M703" s="5" t="s">
        <v>500</v>
      </c>
    </row>
    <row r="704" spans="1:13" x14ac:dyDescent="0.25">
      <c r="A704" s="4">
        <v>835</v>
      </c>
      <c r="B704" s="5" t="s">
        <v>11</v>
      </c>
      <c r="C704" s="6" t="s">
        <v>381</v>
      </c>
      <c r="D704" s="5">
        <f>VLOOKUP(C704,'PESO GRUPO'!A$1:B$9,2,FALSE)</f>
        <v>20</v>
      </c>
      <c r="E704" s="6" t="s">
        <v>472</v>
      </c>
      <c r="F704" s="5">
        <f>VLOOKUP(E704,'PESOS SUBGRUPOS'!B$2:C$193,2,FALSE)</f>
        <v>10</v>
      </c>
      <c r="G704" s="6" t="s">
        <v>398</v>
      </c>
      <c r="H704" s="7" t="s">
        <v>15</v>
      </c>
      <c r="I704" s="5">
        <v>10</v>
      </c>
      <c r="M704" s="5" t="s">
        <v>500</v>
      </c>
    </row>
    <row r="705" spans="1:13" x14ac:dyDescent="0.25">
      <c r="A705" s="4">
        <v>836</v>
      </c>
      <c r="B705" s="5" t="s">
        <v>11</v>
      </c>
      <c r="C705" s="6" t="s">
        <v>381</v>
      </c>
      <c r="D705" s="5">
        <f>VLOOKUP(C705,'PESO GRUPO'!A$1:B$9,2,FALSE)</f>
        <v>20</v>
      </c>
      <c r="E705" s="6" t="s">
        <v>472</v>
      </c>
      <c r="F705" s="5">
        <f>VLOOKUP(E705,'PESOS SUBGRUPOS'!B$2:C$193,2,FALSE)</f>
        <v>10</v>
      </c>
      <c r="G705" s="6" t="s">
        <v>399</v>
      </c>
      <c r="H705" s="7" t="s">
        <v>15</v>
      </c>
      <c r="I705" s="5">
        <v>10</v>
      </c>
      <c r="M705" s="5" t="s">
        <v>500</v>
      </c>
    </row>
    <row r="706" spans="1:13" x14ac:dyDescent="0.25">
      <c r="A706" s="4">
        <v>837</v>
      </c>
      <c r="B706" s="5" t="s">
        <v>11</v>
      </c>
      <c r="C706" s="6" t="s">
        <v>381</v>
      </c>
      <c r="D706" s="5">
        <f>VLOOKUP(C706,'PESO GRUPO'!A$1:B$9,2,FALSE)</f>
        <v>20</v>
      </c>
      <c r="E706" s="6" t="s">
        <v>472</v>
      </c>
      <c r="F706" s="5">
        <f>VLOOKUP(E706,'PESOS SUBGRUPOS'!B$2:C$193,2,FALSE)</f>
        <v>10</v>
      </c>
      <c r="G706" s="6" t="s">
        <v>400</v>
      </c>
      <c r="H706" s="7" t="s">
        <v>15</v>
      </c>
      <c r="I706" s="5">
        <v>10</v>
      </c>
      <c r="M706" s="5" t="s">
        <v>500</v>
      </c>
    </row>
    <row r="707" spans="1:13" x14ac:dyDescent="0.25">
      <c r="A707" s="4">
        <v>838</v>
      </c>
      <c r="B707" s="5" t="s">
        <v>11</v>
      </c>
      <c r="C707" s="6" t="s">
        <v>381</v>
      </c>
      <c r="D707" s="5">
        <f>VLOOKUP(C707,'PESO GRUPO'!A$1:B$9,2,FALSE)</f>
        <v>20</v>
      </c>
      <c r="E707" s="6" t="s">
        <v>472</v>
      </c>
      <c r="F707" s="5">
        <f>VLOOKUP(E707,'PESOS SUBGRUPOS'!B$2:C$193,2,FALSE)</f>
        <v>10</v>
      </c>
      <c r="G707" s="6" t="s">
        <v>401</v>
      </c>
      <c r="H707" s="7" t="s">
        <v>15</v>
      </c>
      <c r="I707" s="5">
        <v>10</v>
      </c>
      <c r="M707" s="5" t="s">
        <v>500</v>
      </c>
    </row>
    <row r="708" spans="1:13" x14ac:dyDescent="0.25">
      <c r="A708" s="4">
        <v>839</v>
      </c>
      <c r="B708" s="5" t="s">
        <v>16</v>
      </c>
      <c r="C708" s="6" t="s">
        <v>381</v>
      </c>
      <c r="D708" s="5">
        <f>VLOOKUP(C708,'PESO GRUPO'!A$1:B$9,2,FALSE)</f>
        <v>20</v>
      </c>
      <c r="E708" s="6" t="s">
        <v>473</v>
      </c>
      <c r="F708" s="5">
        <f>VLOOKUP(E708,'PESOS SUBGRUPOS'!B$2:C$193,2,FALSE)</f>
        <v>10</v>
      </c>
      <c r="G708" s="6" t="s">
        <v>383</v>
      </c>
      <c r="H708" s="7" t="s">
        <v>15</v>
      </c>
      <c r="I708" s="5">
        <v>0</v>
      </c>
      <c r="M708" s="5" t="s">
        <v>500</v>
      </c>
    </row>
    <row r="709" spans="1:13" x14ac:dyDescent="0.25">
      <c r="A709" s="4">
        <v>840</v>
      </c>
      <c r="B709" s="5" t="s">
        <v>11</v>
      </c>
      <c r="C709" s="6" t="s">
        <v>381</v>
      </c>
      <c r="D709" s="5">
        <f>VLOOKUP(C709,'PESO GRUPO'!A$1:B$9,2,FALSE)</f>
        <v>20</v>
      </c>
      <c r="E709" s="6" t="s">
        <v>473</v>
      </c>
      <c r="F709" s="5">
        <f>VLOOKUP(E709,'PESOS SUBGRUPOS'!B$2:C$193,2,FALSE)</f>
        <v>10</v>
      </c>
      <c r="G709" s="6" t="s">
        <v>384</v>
      </c>
      <c r="H709" s="7" t="s">
        <v>15</v>
      </c>
      <c r="I709" s="5">
        <v>10</v>
      </c>
      <c r="M709" s="5" t="s">
        <v>500</v>
      </c>
    </row>
    <row r="710" spans="1:13" x14ac:dyDescent="0.25">
      <c r="A710" s="4">
        <v>841</v>
      </c>
      <c r="B710" s="5" t="s">
        <v>11</v>
      </c>
      <c r="C710" s="6" t="s">
        <v>381</v>
      </c>
      <c r="D710" s="5">
        <f>VLOOKUP(C710,'PESO GRUPO'!A$1:B$9,2,FALSE)</f>
        <v>20</v>
      </c>
      <c r="E710" s="6" t="s">
        <v>473</v>
      </c>
      <c r="F710" s="5">
        <f>VLOOKUP(E710,'PESOS SUBGRUPOS'!B$2:C$193,2,FALSE)</f>
        <v>10</v>
      </c>
      <c r="G710" s="6" t="s">
        <v>385</v>
      </c>
      <c r="H710" s="7" t="s">
        <v>15</v>
      </c>
      <c r="I710" s="5">
        <v>20</v>
      </c>
      <c r="M710" s="5" t="s">
        <v>500</v>
      </c>
    </row>
    <row r="711" spans="1:13" x14ac:dyDescent="0.25">
      <c r="A711" s="4">
        <v>842</v>
      </c>
      <c r="B711" s="5" t="s">
        <v>11</v>
      </c>
      <c r="C711" s="6" t="s">
        <v>381</v>
      </c>
      <c r="D711" s="5">
        <f>VLOOKUP(C711,'PESO GRUPO'!A$1:B$9,2,FALSE)</f>
        <v>20</v>
      </c>
      <c r="E711" s="6" t="s">
        <v>473</v>
      </c>
      <c r="F711" s="5">
        <f>VLOOKUP(E711,'PESOS SUBGRUPOS'!B$2:C$193,2,FALSE)</f>
        <v>10</v>
      </c>
      <c r="G711" s="6" t="s">
        <v>386</v>
      </c>
      <c r="H711" s="7" t="s">
        <v>15</v>
      </c>
      <c r="I711" s="5">
        <v>30</v>
      </c>
      <c r="M711" s="5" t="s">
        <v>500</v>
      </c>
    </row>
    <row r="712" spans="1:13" x14ac:dyDescent="0.25">
      <c r="A712" s="4">
        <v>843</v>
      </c>
      <c r="B712" s="5" t="s">
        <v>11</v>
      </c>
      <c r="C712" s="6" t="s">
        <v>381</v>
      </c>
      <c r="D712" s="5">
        <f>VLOOKUP(C712,'PESO GRUPO'!A$1:B$9,2,FALSE)</f>
        <v>20</v>
      </c>
      <c r="E712" s="6" t="s">
        <v>473</v>
      </c>
      <c r="F712" s="5">
        <f>VLOOKUP(E712,'PESOS SUBGRUPOS'!B$2:C$193,2,FALSE)</f>
        <v>10</v>
      </c>
      <c r="G712" s="6" t="s">
        <v>387</v>
      </c>
      <c r="H712" s="7" t="s">
        <v>15</v>
      </c>
      <c r="I712" s="5">
        <v>30</v>
      </c>
      <c r="M712" s="5" t="s">
        <v>500</v>
      </c>
    </row>
    <row r="713" spans="1:13" x14ac:dyDescent="0.25">
      <c r="A713" s="4">
        <v>844</v>
      </c>
      <c r="B713" s="5" t="s">
        <v>11</v>
      </c>
      <c r="C713" s="6" t="s">
        <v>381</v>
      </c>
      <c r="D713" s="5">
        <f>VLOOKUP(C713,'PESO GRUPO'!A$1:B$9,2,FALSE)</f>
        <v>20</v>
      </c>
      <c r="E713" s="6" t="s">
        <v>473</v>
      </c>
      <c r="F713" s="5">
        <f>VLOOKUP(E713,'PESOS SUBGRUPOS'!B$2:C$193,2,FALSE)</f>
        <v>10</v>
      </c>
      <c r="G713" s="6" t="s">
        <v>370</v>
      </c>
      <c r="H713" s="7" t="s">
        <v>15</v>
      </c>
      <c r="I713" s="5">
        <v>20</v>
      </c>
      <c r="M713" s="5" t="s">
        <v>500</v>
      </c>
    </row>
    <row r="714" spans="1:13" x14ac:dyDescent="0.25">
      <c r="A714" s="4">
        <v>845</v>
      </c>
      <c r="B714" s="5" t="s">
        <v>11</v>
      </c>
      <c r="C714" s="6" t="s">
        <v>381</v>
      </c>
      <c r="D714" s="5">
        <f>VLOOKUP(C714,'PESO GRUPO'!A$1:B$9,2,FALSE)</f>
        <v>20</v>
      </c>
      <c r="E714" s="6" t="s">
        <v>473</v>
      </c>
      <c r="F714" s="5">
        <f>VLOOKUP(E714,'PESOS SUBGRUPOS'!B$2:C$193,2,FALSE)</f>
        <v>10</v>
      </c>
      <c r="G714" s="6" t="s">
        <v>388</v>
      </c>
      <c r="H714" s="7" t="s">
        <v>15</v>
      </c>
      <c r="I714" s="5">
        <v>10</v>
      </c>
      <c r="M714" s="5" t="s">
        <v>500</v>
      </c>
    </row>
    <row r="715" spans="1:13" x14ac:dyDescent="0.25">
      <c r="A715" s="4">
        <v>846</v>
      </c>
      <c r="B715" s="5" t="s">
        <v>11</v>
      </c>
      <c r="C715" s="6" t="s">
        <v>381</v>
      </c>
      <c r="D715" s="5">
        <f>VLOOKUP(C715,'PESO GRUPO'!A$1:B$9,2,FALSE)</f>
        <v>20</v>
      </c>
      <c r="E715" s="6" t="s">
        <v>473</v>
      </c>
      <c r="F715" s="5">
        <f>VLOOKUP(E715,'PESOS SUBGRUPOS'!B$2:C$193,2,FALSE)</f>
        <v>10</v>
      </c>
      <c r="G715" s="6" t="s">
        <v>389</v>
      </c>
      <c r="H715" s="7" t="s">
        <v>15</v>
      </c>
      <c r="I715" s="5">
        <v>10</v>
      </c>
      <c r="M715" s="5" t="s">
        <v>500</v>
      </c>
    </row>
    <row r="716" spans="1:13" x14ac:dyDescent="0.25">
      <c r="A716" s="4">
        <v>847</v>
      </c>
      <c r="B716" s="5" t="s">
        <v>11</v>
      </c>
      <c r="C716" s="6" t="s">
        <v>381</v>
      </c>
      <c r="D716" s="5">
        <f>VLOOKUP(C716,'PESO GRUPO'!A$1:B$9,2,FALSE)</f>
        <v>20</v>
      </c>
      <c r="E716" s="6" t="s">
        <v>473</v>
      </c>
      <c r="F716" s="5">
        <f>VLOOKUP(E716,'PESOS SUBGRUPOS'!B$2:C$193,2,FALSE)</f>
        <v>10</v>
      </c>
      <c r="G716" s="6" t="s">
        <v>390</v>
      </c>
      <c r="H716" s="7" t="s">
        <v>15</v>
      </c>
      <c r="I716" s="5">
        <v>10</v>
      </c>
      <c r="M716" s="5" t="s">
        <v>500</v>
      </c>
    </row>
    <row r="717" spans="1:13" x14ac:dyDescent="0.25">
      <c r="A717" s="4">
        <v>848</v>
      </c>
      <c r="B717" s="5" t="s">
        <v>11</v>
      </c>
      <c r="C717" s="6" t="s">
        <v>381</v>
      </c>
      <c r="D717" s="5">
        <f>VLOOKUP(C717,'PESO GRUPO'!A$1:B$9,2,FALSE)</f>
        <v>20</v>
      </c>
      <c r="E717" s="6" t="s">
        <v>473</v>
      </c>
      <c r="F717" s="5">
        <f>VLOOKUP(E717,'PESOS SUBGRUPOS'!B$2:C$193,2,FALSE)</f>
        <v>10</v>
      </c>
      <c r="G717" s="6" t="s">
        <v>471</v>
      </c>
      <c r="H717" s="7" t="s">
        <v>15</v>
      </c>
      <c r="I717" s="5">
        <v>10</v>
      </c>
      <c r="M717" s="5" t="s">
        <v>500</v>
      </c>
    </row>
    <row r="718" spans="1:13" x14ac:dyDescent="0.25">
      <c r="A718" s="4">
        <v>849</v>
      </c>
      <c r="B718" s="5" t="s">
        <v>11</v>
      </c>
      <c r="C718" s="6" t="s">
        <v>381</v>
      </c>
      <c r="D718" s="5">
        <f>VLOOKUP(C718,'PESO GRUPO'!A$1:B$9,2,FALSE)</f>
        <v>20</v>
      </c>
      <c r="E718" s="6" t="s">
        <v>473</v>
      </c>
      <c r="F718" s="5">
        <f>VLOOKUP(E718,'PESOS SUBGRUPOS'!B$2:C$193,2,FALSE)</f>
        <v>10</v>
      </c>
      <c r="G718" s="6" t="s">
        <v>391</v>
      </c>
      <c r="H718" s="7" t="s">
        <v>15</v>
      </c>
      <c r="I718" s="5">
        <v>10</v>
      </c>
      <c r="M718" s="5" t="s">
        <v>500</v>
      </c>
    </row>
    <row r="719" spans="1:13" x14ac:dyDescent="0.25">
      <c r="A719" s="4">
        <v>850</v>
      </c>
      <c r="B719" s="5" t="s">
        <v>11</v>
      </c>
      <c r="C719" s="6" t="s">
        <v>381</v>
      </c>
      <c r="D719" s="5">
        <f>VLOOKUP(C719,'PESO GRUPO'!A$1:B$9,2,FALSE)</f>
        <v>20</v>
      </c>
      <c r="E719" s="6" t="s">
        <v>473</v>
      </c>
      <c r="F719" s="5">
        <f>VLOOKUP(E719,'PESOS SUBGRUPOS'!B$2:C$193,2,FALSE)</f>
        <v>10</v>
      </c>
      <c r="G719" s="6" t="s">
        <v>392</v>
      </c>
      <c r="H719" s="7" t="s">
        <v>15</v>
      </c>
      <c r="I719" s="5">
        <v>10</v>
      </c>
      <c r="M719" s="5" t="s">
        <v>500</v>
      </c>
    </row>
    <row r="720" spans="1:13" x14ac:dyDescent="0.25">
      <c r="A720" s="4">
        <v>851</v>
      </c>
      <c r="B720" s="5" t="s">
        <v>11</v>
      </c>
      <c r="C720" s="6" t="s">
        <v>381</v>
      </c>
      <c r="D720" s="5">
        <f>VLOOKUP(C720,'PESO GRUPO'!A$1:B$9,2,FALSE)</f>
        <v>20</v>
      </c>
      <c r="E720" s="6" t="s">
        <v>473</v>
      </c>
      <c r="F720" s="5">
        <f>VLOOKUP(E720,'PESOS SUBGRUPOS'!B$2:C$193,2,FALSE)</f>
        <v>10</v>
      </c>
      <c r="G720" s="6" t="s">
        <v>337</v>
      </c>
      <c r="H720" s="7" t="s">
        <v>15</v>
      </c>
      <c r="I720" s="5">
        <v>30</v>
      </c>
      <c r="M720" s="5" t="s">
        <v>500</v>
      </c>
    </row>
    <row r="721" spans="1:13" x14ac:dyDescent="0.25">
      <c r="A721" s="4">
        <v>852</v>
      </c>
      <c r="B721" s="5" t="s">
        <v>11</v>
      </c>
      <c r="C721" s="6" t="s">
        <v>381</v>
      </c>
      <c r="D721" s="5">
        <f>VLOOKUP(C721,'PESO GRUPO'!A$1:B$9,2,FALSE)</f>
        <v>20</v>
      </c>
      <c r="E721" s="6" t="s">
        <v>473</v>
      </c>
      <c r="F721" s="5">
        <f>VLOOKUP(E721,'PESOS SUBGRUPOS'!B$2:C$193,2,FALSE)</f>
        <v>10</v>
      </c>
      <c r="G721" s="6" t="s">
        <v>393</v>
      </c>
      <c r="H721" s="7" t="s">
        <v>15</v>
      </c>
      <c r="I721" s="5">
        <v>10</v>
      </c>
      <c r="M721" s="5" t="s">
        <v>500</v>
      </c>
    </row>
    <row r="722" spans="1:13" x14ac:dyDescent="0.25">
      <c r="A722" s="4">
        <v>853</v>
      </c>
      <c r="B722" s="5" t="s">
        <v>11</v>
      </c>
      <c r="C722" s="6" t="s">
        <v>381</v>
      </c>
      <c r="D722" s="5">
        <f>VLOOKUP(C722,'PESO GRUPO'!A$1:B$9,2,FALSE)</f>
        <v>20</v>
      </c>
      <c r="E722" s="6" t="s">
        <v>473</v>
      </c>
      <c r="F722" s="5">
        <f>VLOOKUP(E722,'PESOS SUBGRUPOS'!B$2:C$193,2,FALSE)</f>
        <v>10</v>
      </c>
      <c r="G722" s="6" t="s">
        <v>394</v>
      </c>
      <c r="H722" s="7" t="s">
        <v>15</v>
      </c>
      <c r="I722" s="5">
        <v>30</v>
      </c>
      <c r="M722" s="5" t="s">
        <v>500</v>
      </c>
    </row>
    <row r="723" spans="1:13" x14ac:dyDescent="0.25">
      <c r="A723" s="4">
        <v>854</v>
      </c>
      <c r="B723" s="5" t="s">
        <v>11</v>
      </c>
      <c r="C723" s="6" t="s">
        <v>381</v>
      </c>
      <c r="D723" s="5">
        <f>VLOOKUP(C723,'PESO GRUPO'!A$1:B$9,2,FALSE)</f>
        <v>20</v>
      </c>
      <c r="E723" s="6" t="s">
        <v>473</v>
      </c>
      <c r="F723" s="5">
        <f>VLOOKUP(E723,'PESOS SUBGRUPOS'!B$2:C$193,2,FALSE)</f>
        <v>10</v>
      </c>
      <c r="G723" s="6" t="s">
        <v>395</v>
      </c>
      <c r="H723" s="7" t="s">
        <v>15</v>
      </c>
      <c r="I723" s="5">
        <v>10</v>
      </c>
      <c r="M723" s="5" t="s">
        <v>500</v>
      </c>
    </row>
    <row r="724" spans="1:13" x14ac:dyDescent="0.25">
      <c r="A724" s="4">
        <v>855</v>
      </c>
      <c r="B724" s="5" t="s">
        <v>11</v>
      </c>
      <c r="C724" s="6" t="s">
        <v>381</v>
      </c>
      <c r="D724" s="5">
        <f>VLOOKUP(C724,'PESO GRUPO'!A$1:B$9,2,FALSE)</f>
        <v>20</v>
      </c>
      <c r="E724" s="6" t="s">
        <v>473</v>
      </c>
      <c r="F724" s="5">
        <f>VLOOKUP(E724,'PESOS SUBGRUPOS'!B$2:C$193,2,FALSE)</f>
        <v>10</v>
      </c>
      <c r="G724" s="6" t="s">
        <v>396</v>
      </c>
      <c r="H724" s="7" t="s">
        <v>15</v>
      </c>
      <c r="I724" s="5">
        <v>20</v>
      </c>
      <c r="M724" s="5" t="s">
        <v>500</v>
      </c>
    </row>
    <row r="725" spans="1:13" x14ac:dyDescent="0.25">
      <c r="A725" s="4">
        <v>856</v>
      </c>
      <c r="B725" s="5" t="s">
        <v>11</v>
      </c>
      <c r="C725" s="6" t="s">
        <v>381</v>
      </c>
      <c r="D725" s="5">
        <f>VLOOKUP(C725,'PESO GRUPO'!A$1:B$9,2,FALSE)</f>
        <v>20</v>
      </c>
      <c r="E725" s="6" t="s">
        <v>473</v>
      </c>
      <c r="F725" s="5">
        <f>VLOOKUP(E725,'PESOS SUBGRUPOS'!B$2:C$193,2,FALSE)</f>
        <v>10</v>
      </c>
      <c r="G725" s="6" t="s">
        <v>397</v>
      </c>
      <c r="H725" s="7" t="s">
        <v>15</v>
      </c>
      <c r="I725" s="5">
        <v>20</v>
      </c>
      <c r="M725" s="5" t="s">
        <v>500</v>
      </c>
    </row>
    <row r="726" spans="1:13" x14ac:dyDescent="0.25">
      <c r="A726" s="4">
        <v>857</v>
      </c>
      <c r="B726" s="5" t="s">
        <v>11</v>
      </c>
      <c r="C726" s="6" t="s">
        <v>381</v>
      </c>
      <c r="D726" s="5">
        <f>VLOOKUP(C726,'PESO GRUPO'!A$1:B$9,2,FALSE)</f>
        <v>20</v>
      </c>
      <c r="E726" s="6" t="s">
        <v>473</v>
      </c>
      <c r="F726" s="5">
        <f>VLOOKUP(E726,'PESOS SUBGRUPOS'!B$2:C$193,2,FALSE)</f>
        <v>10</v>
      </c>
      <c r="G726" s="6" t="s">
        <v>398</v>
      </c>
      <c r="H726" s="7" t="s">
        <v>15</v>
      </c>
      <c r="I726" s="5">
        <v>10</v>
      </c>
      <c r="M726" s="5" t="s">
        <v>500</v>
      </c>
    </row>
    <row r="727" spans="1:13" x14ac:dyDescent="0.25">
      <c r="A727" s="4">
        <v>858</v>
      </c>
      <c r="B727" s="5" t="s">
        <v>11</v>
      </c>
      <c r="C727" s="6" t="s">
        <v>381</v>
      </c>
      <c r="D727" s="5">
        <f>VLOOKUP(C727,'PESO GRUPO'!A$1:B$9,2,FALSE)</f>
        <v>20</v>
      </c>
      <c r="E727" s="6" t="s">
        <v>473</v>
      </c>
      <c r="F727" s="5">
        <f>VLOOKUP(E727,'PESOS SUBGRUPOS'!B$2:C$193,2,FALSE)</f>
        <v>10</v>
      </c>
      <c r="G727" s="6" t="s">
        <v>399</v>
      </c>
      <c r="H727" s="7" t="s">
        <v>15</v>
      </c>
      <c r="I727" s="5">
        <v>10</v>
      </c>
      <c r="M727" s="5" t="s">
        <v>500</v>
      </c>
    </row>
    <row r="728" spans="1:13" x14ac:dyDescent="0.25">
      <c r="A728" s="4">
        <v>859</v>
      </c>
      <c r="B728" s="5" t="s">
        <v>11</v>
      </c>
      <c r="C728" s="6" t="s">
        <v>381</v>
      </c>
      <c r="D728" s="5">
        <f>VLOOKUP(C728,'PESO GRUPO'!A$1:B$9,2,FALSE)</f>
        <v>20</v>
      </c>
      <c r="E728" s="6" t="s">
        <v>473</v>
      </c>
      <c r="F728" s="5">
        <f>VLOOKUP(E728,'PESOS SUBGRUPOS'!B$2:C$193,2,FALSE)</f>
        <v>10</v>
      </c>
      <c r="G728" s="6" t="s">
        <v>400</v>
      </c>
      <c r="H728" s="7" t="s">
        <v>15</v>
      </c>
      <c r="I728" s="5">
        <v>10</v>
      </c>
      <c r="M728" s="5" t="s">
        <v>500</v>
      </c>
    </row>
    <row r="729" spans="1:13" x14ac:dyDescent="0.25">
      <c r="A729" s="4">
        <v>860</v>
      </c>
      <c r="B729" s="5" t="s">
        <v>11</v>
      </c>
      <c r="C729" s="6" t="s">
        <v>381</v>
      </c>
      <c r="D729" s="5">
        <f>VLOOKUP(C729,'PESO GRUPO'!A$1:B$9,2,FALSE)</f>
        <v>20</v>
      </c>
      <c r="E729" s="6" t="s">
        <v>473</v>
      </c>
      <c r="F729" s="5">
        <f>VLOOKUP(E729,'PESOS SUBGRUPOS'!B$2:C$193,2,FALSE)</f>
        <v>10</v>
      </c>
      <c r="G729" s="6" t="s">
        <v>401</v>
      </c>
      <c r="H729" s="7" t="s">
        <v>15</v>
      </c>
      <c r="I729" s="5">
        <v>10</v>
      </c>
      <c r="M729" s="5" t="s">
        <v>500</v>
      </c>
    </row>
    <row r="730" spans="1:13" x14ac:dyDescent="0.25">
      <c r="A730" s="4">
        <v>861</v>
      </c>
      <c r="B730" s="5" t="s">
        <v>16</v>
      </c>
      <c r="C730" s="6" t="s">
        <v>381</v>
      </c>
      <c r="D730" s="5">
        <f>VLOOKUP(C730,'PESO GRUPO'!A$1:B$9,2,FALSE)</f>
        <v>20</v>
      </c>
      <c r="E730" s="6" t="s">
        <v>474</v>
      </c>
      <c r="F730" s="5">
        <f>VLOOKUP(E730,'PESOS SUBGRUPOS'!B$2:C$193,2,FALSE)</f>
        <v>10</v>
      </c>
      <c r="G730" s="6" t="s">
        <v>383</v>
      </c>
      <c r="H730" s="7" t="s">
        <v>15</v>
      </c>
      <c r="I730" s="5">
        <v>0</v>
      </c>
      <c r="M730" s="5" t="s">
        <v>500</v>
      </c>
    </row>
    <row r="731" spans="1:13" x14ac:dyDescent="0.25">
      <c r="A731" s="4">
        <v>862</v>
      </c>
      <c r="B731" s="5" t="s">
        <v>11</v>
      </c>
      <c r="C731" s="6" t="s">
        <v>381</v>
      </c>
      <c r="D731" s="5">
        <f>VLOOKUP(C731,'PESO GRUPO'!A$1:B$9,2,FALSE)</f>
        <v>20</v>
      </c>
      <c r="E731" s="6" t="s">
        <v>474</v>
      </c>
      <c r="F731" s="5">
        <f>VLOOKUP(E731,'PESOS SUBGRUPOS'!B$2:C$193,2,FALSE)</f>
        <v>10</v>
      </c>
      <c r="G731" s="6" t="s">
        <v>384</v>
      </c>
      <c r="H731" s="7" t="s">
        <v>15</v>
      </c>
      <c r="I731" s="5">
        <v>10</v>
      </c>
      <c r="M731" s="5" t="s">
        <v>500</v>
      </c>
    </row>
    <row r="732" spans="1:13" x14ac:dyDescent="0.25">
      <c r="A732" s="4">
        <v>863</v>
      </c>
      <c r="B732" s="5" t="s">
        <v>11</v>
      </c>
      <c r="C732" s="6" t="s">
        <v>381</v>
      </c>
      <c r="D732" s="5">
        <f>VLOOKUP(C732,'PESO GRUPO'!A$1:B$9,2,FALSE)</f>
        <v>20</v>
      </c>
      <c r="E732" s="6" t="s">
        <v>474</v>
      </c>
      <c r="F732" s="5">
        <f>VLOOKUP(E732,'PESOS SUBGRUPOS'!B$2:C$193,2,FALSE)</f>
        <v>10</v>
      </c>
      <c r="G732" s="6" t="s">
        <v>385</v>
      </c>
      <c r="H732" s="7" t="s">
        <v>15</v>
      </c>
      <c r="I732" s="5">
        <v>20</v>
      </c>
      <c r="M732" s="5" t="s">
        <v>500</v>
      </c>
    </row>
    <row r="733" spans="1:13" x14ac:dyDescent="0.25">
      <c r="A733" s="4">
        <v>864</v>
      </c>
      <c r="B733" s="5" t="s">
        <v>11</v>
      </c>
      <c r="C733" s="6" t="s">
        <v>381</v>
      </c>
      <c r="D733" s="5">
        <f>VLOOKUP(C733,'PESO GRUPO'!A$1:B$9,2,FALSE)</f>
        <v>20</v>
      </c>
      <c r="E733" s="6" t="s">
        <v>474</v>
      </c>
      <c r="F733" s="5">
        <f>VLOOKUP(E733,'PESOS SUBGRUPOS'!B$2:C$193,2,FALSE)</f>
        <v>10</v>
      </c>
      <c r="G733" s="6" t="s">
        <v>386</v>
      </c>
      <c r="H733" s="7" t="s">
        <v>15</v>
      </c>
      <c r="I733" s="5">
        <v>30</v>
      </c>
      <c r="M733" s="5" t="s">
        <v>500</v>
      </c>
    </row>
    <row r="734" spans="1:13" x14ac:dyDescent="0.25">
      <c r="A734" s="4">
        <v>865</v>
      </c>
      <c r="B734" s="5" t="s">
        <v>11</v>
      </c>
      <c r="C734" s="6" t="s">
        <v>381</v>
      </c>
      <c r="D734" s="5">
        <f>VLOOKUP(C734,'PESO GRUPO'!A$1:B$9,2,FALSE)</f>
        <v>20</v>
      </c>
      <c r="E734" s="6" t="s">
        <v>474</v>
      </c>
      <c r="F734" s="5">
        <f>VLOOKUP(E734,'PESOS SUBGRUPOS'!B$2:C$193,2,FALSE)</f>
        <v>10</v>
      </c>
      <c r="G734" s="6" t="s">
        <v>387</v>
      </c>
      <c r="H734" s="7" t="s">
        <v>15</v>
      </c>
      <c r="I734" s="5">
        <v>30</v>
      </c>
      <c r="M734" s="5" t="s">
        <v>500</v>
      </c>
    </row>
    <row r="735" spans="1:13" x14ac:dyDescent="0.25">
      <c r="A735" s="4">
        <v>866</v>
      </c>
      <c r="B735" s="5" t="s">
        <v>11</v>
      </c>
      <c r="C735" s="6" t="s">
        <v>381</v>
      </c>
      <c r="D735" s="5">
        <f>VLOOKUP(C735,'PESO GRUPO'!A$1:B$9,2,FALSE)</f>
        <v>20</v>
      </c>
      <c r="E735" s="6" t="s">
        <v>474</v>
      </c>
      <c r="F735" s="5">
        <f>VLOOKUP(E735,'PESOS SUBGRUPOS'!B$2:C$193,2,FALSE)</f>
        <v>10</v>
      </c>
      <c r="G735" s="6" t="s">
        <v>370</v>
      </c>
      <c r="H735" s="7" t="s">
        <v>15</v>
      </c>
      <c r="I735" s="5">
        <v>20</v>
      </c>
      <c r="M735" s="5" t="s">
        <v>500</v>
      </c>
    </row>
    <row r="736" spans="1:13" x14ac:dyDescent="0.25">
      <c r="A736" s="4">
        <v>867</v>
      </c>
      <c r="B736" s="5" t="s">
        <v>11</v>
      </c>
      <c r="C736" s="6" t="s">
        <v>381</v>
      </c>
      <c r="D736" s="5">
        <f>VLOOKUP(C736,'PESO GRUPO'!A$1:B$9,2,FALSE)</f>
        <v>20</v>
      </c>
      <c r="E736" s="6" t="s">
        <v>474</v>
      </c>
      <c r="F736" s="5">
        <f>VLOOKUP(E736,'PESOS SUBGRUPOS'!B$2:C$193,2,FALSE)</f>
        <v>10</v>
      </c>
      <c r="G736" s="6" t="s">
        <v>388</v>
      </c>
      <c r="H736" s="7" t="s">
        <v>15</v>
      </c>
      <c r="I736" s="5">
        <v>10</v>
      </c>
      <c r="M736" s="5" t="s">
        <v>500</v>
      </c>
    </row>
    <row r="737" spans="1:13" x14ac:dyDescent="0.25">
      <c r="A737" s="4">
        <v>868</v>
      </c>
      <c r="B737" s="5" t="s">
        <v>11</v>
      </c>
      <c r="C737" s="6" t="s">
        <v>381</v>
      </c>
      <c r="D737" s="5">
        <f>VLOOKUP(C737,'PESO GRUPO'!A$1:B$9,2,FALSE)</f>
        <v>20</v>
      </c>
      <c r="E737" s="6" t="s">
        <v>474</v>
      </c>
      <c r="F737" s="5">
        <f>VLOOKUP(E737,'PESOS SUBGRUPOS'!B$2:C$193,2,FALSE)</f>
        <v>10</v>
      </c>
      <c r="G737" s="6" t="s">
        <v>389</v>
      </c>
      <c r="H737" s="7" t="s">
        <v>15</v>
      </c>
      <c r="I737" s="5">
        <v>10</v>
      </c>
      <c r="M737" s="5" t="s">
        <v>500</v>
      </c>
    </row>
    <row r="738" spans="1:13" x14ac:dyDescent="0.25">
      <c r="A738" s="4">
        <v>869</v>
      </c>
      <c r="B738" s="5" t="s">
        <v>11</v>
      </c>
      <c r="C738" s="6" t="s">
        <v>381</v>
      </c>
      <c r="D738" s="5">
        <f>VLOOKUP(C738,'PESO GRUPO'!A$1:B$9,2,FALSE)</f>
        <v>20</v>
      </c>
      <c r="E738" s="6" t="s">
        <v>474</v>
      </c>
      <c r="F738" s="5">
        <f>VLOOKUP(E738,'PESOS SUBGRUPOS'!B$2:C$193,2,FALSE)</f>
        <v>10</v>
      </c>
      <c r="G738" s="6" t="s">
        <v>390</v>
      </c>
      <c r="H738" s="7" t="s">
        <v>15</v>
      </c>
      <c r="I738" s="5">
        <v>10</v>
      </c>
      <c r="M738" s="5" t="s">
        <v>500</v>
      </c>
    </row>
    <row r="739" spans="1:13" x14ac:dyDescent="0.25">
      <c r="A739" s="4">
        <v>870</v>
      </c>
      <c r="B739" s="5" t="s">
        <v>11</v>
      </c>
      <c r="C739" s="6" t="s">
        <v>381</v>
      </c>
      <c r="D739" s="5">
        <f>VLOOKUP(C739,'PESO GRUPO'!A$1:B$9,2,FALSE)</f>
        <v>20</v>
      </c>
      <c r="E739" s="6" t="s">
        <v>474</v>
      </c>
      <c r="F739" s="5">
        <f>VLOOKUP(E739,'PESOS SUBGRUPOS'!B$2:C$193,2,FALSE)</f>
        <v>10</v>
      </c>
      <c r="G739" s="6" t="s">
        <v>471</v>
      </c>
      <c r="H739" s="7" t="s">
        <v>15</v>
      </c>
      <c r="I739" s="5">
        <v>10</v>
      </c>
      <c r="M739" s="5" t="s">
        <v>500</v>
      </c>
    </row>
    <row r="740" spans="1:13" x14ac:dyDescent="0.25">
      <c r="A740" s="4">
        <v>871</v>
      </c>
      <c r="B740" s="5" t="s">
        <v>11</v>
      </c>
      <c r="C740" s="6" t="s">
        <v>381</v>
      </c>
      <c r="D740" s="5">
        <f>VLOOKUP(C740,'PESO GRUPO'!A$1:B$9,2,FALSE)</f>
        <v>20</v>
      </c>
      <c r="E740" s="6" t="s">
        <v>474</v>
      </c>
      <c r="F740" s="5">
        <f>VLOOKUP(E740,'PESOS SUBGRUPOS'!B$2:C$193,2,FALSE)</f>
        <v>10</v>
      </c>
      <c r="G740" s="6" t="s">
        <v>391</v>
      </c>
      <c r="H740" s="7" t="s">
        <v>15</v>
      </c>
      <c r="I740" s="5">
        <v>10</v>
      </c>
      <c r="M740" s="5" t="s">
        <v>500</v>
      </c>
    </row>
    <row r="741" spans="1:13" x14ac:dyDescent="0.25">
      <c r="A741" s="4">
        <v>872</v>
      </c>
      <c r="B741" s="5" t="s">
        <v>11</v>
      </c>
      <c r="C741" s="6" t="s">
        <v>381</v>
      </c>
      <c r="D741" s="5">
        <f>VLOOKUP(C741,'PESO GRUPO'!A$1:B$9,2,FALSE)</f>
        <v>20</v>
      </c>
      <c r="E741" s="6" t="s">
        <v>474</v>
      </c>
      <c r="F741" s="5">
        <f>VLOOKUP(E741,'PESOS SUBGRUPOS'!B$2:C$193,2,FALSE)</f>
        <v>10</v>
      </c>
      <c r="G741" s="6" t="s">
        <v>392</v>
      </c>
      <c r="H741" s="7" t="s">
        <v>15</v>
      </c>
      <c r="I741" s="5">
        <v>10</v>
      </c>
      <c r="M741" s="5" t="s">
        <v>500</v>
      </c>
    </row>
    <row r="742" spans="1:13" x14ac:dyDescent="0.25">
      <c r="A742" s="4">
        <v>873</v>
      </c>
      <c r="B742" s="5" t="s">
        <v>11</v>
      </c>
      <c r="C742" s="6" t="s">
        <v>381</v>
      </c>
      <c r="D742" s="5">
        <f>VLOOKUP(C742,'PESO GRUPO'!A$1:B$9,2,FALSE)</f>
        <v>20</v>
      </c>
      <c r="E742" s="6" t="s">
        <v>474</v>
      </c>
      <c r="F742" s="5">
        <f>VLOOKUP(E742,'PESOS SUBGRUPOS'!B$2:C$193,2,FALSE)</f>
        <v>10</v>
      </c>
      <c r="G742" s="6" t="s">
        <v>337</v>
      </c>
      <c r="H742" s="7" t="s">
        <v>15</v>
      </c>
      <c r="I742" s="5">
        <v>30</v>
      </c>
      <c r="M742" s="5" t="s">
        <v>500</v>
      </c>
    </row>
    <row r="743" spans="1:13" x14ac:dyDescent="0.25">
      <c r="A743" s="4">
        <v>874</v>
      </c>
      <c r="B743" s="5" t="s">
        <v>11</v>
      </c>
      <c r="C743" s="6" t="s">
        <v>381</v>
      </c>
      <c r="D743" s="5">
        <f>VLOOKUP(C743,'PESO GRUPO'!A$1:B$9,2,FALSE)</f>
        <v>20</v>
      </c>
      <c r="E743" s="6" t="s">
        <v>474</v>
      </c>
      <c r="F743" s="5">
        <f>VLOOKUP(E743,'PESOS SUBGRUPOS'!B$2:C$193,2,FALSE)</f>
        <v>10</v>
      </c>
      <c r="G743" s="6" t="s">
        <v>393</v>
      </c>
      <c r="H743" s="7" t="s">
        <v>15</v>
      </c>
      <c r="I743" s="5">
        <v>10</v>
      </c>
      <c r="M743" s="5" t="s">
        <v>500</v>
      </c>
    </row>
    <row r="744" spans="1:13" x14ac:dyDescent="0.25">
      <c r="A744" s="4">
        <v>875</v>
      </c>
      <c r="B744" s="5" t="s">
        <v>11</v>
      </c>
      <c r="C744" s="6" t="s">
        <v>381</v>
      </c>
      <c r="D744" s="5">
        <f>VLOOKUP(C744,'PESO GRUPO'!A$1:B$9,2,FALSE)</f>
        <v>20</v>
      </c>
      <c r="E744" s="6" t="s">
        <v>474</v>
      </c>
      <c r="F744" s="5">
        <f>VLOOKUP(E744,'PESOS SUBGRUPOS'!B$2:C$193,2,FALSE)</f>
        <v>10</v>
      </c>
      <c r="G744" s="6" t="s">
        <v>394</v>
      </c>
      <c r="H744" s="7" t="s">
        <v>15</v>
      </c>
      <c r="I744" s="5">
        <v>30</v>
      </c>
      <c r="M744" s="5" t="s">
        <v>500</v>
      </c>
    </row>
    <row r="745" spans="1:13" x14ac:dyDescent="0.25">
      <c r="A745" s="4">
        <v>876</v>
      </c>
      <c r="B745" s="5" t="s">
        <v>11</v>
      </c>
      <c r="C745" s="6" t="s">
        <v>381</v>
      </c>
      <c r="D745" s="5">
        <f>VLOOKUP(C745,'PESO GRUPO'!A$1:B$9,2,FALSE)</f>
        <v>20</v>
      </c>
      <c r="E745" s="6" t="s">
        <v>474</v>
      </c>
      <c r="F745" s="5">
        <f>VLOOKUP(E745,'PESOS SUBGRUPOS'!B$2:C$193,2,FALSE)</f>
        <v>10</v>
      </c>
      <c r="G745" s="6" t="s">
        <v>395</v>
      </c>
      <c r="H745" s="7" t="s">
        <v>15</v>
      </c>
      <c r="I745" s="5">
        <v>10</v>
      </c>
      <c r="M745" s="5" t="s">
        <v>500</v>
      </c>
    </row>
    <row r="746" spans="1:13" x14ac:dyDescent="0.25">
      <c r="A746" s="4">
        <v>877</v>
      </c>
      <c r="B746" s="5" t="s">
        <v>11</v>
      </c>
      <c r="C746" s="6" t="s">
        <v>381</v>
      </c>
      <c r="D746" s="5">
        <f>VLOOKUP(C746,'PESO GRUPO'!A$1:B$9,2,FALSE)</f>
        <v>20</v>
      </c>
      <c r="E746" s="6" t="s">
        <v>474</v>
      </c>
      <c r="F746" s="5">
        <f>VLOOKUP(E746,'PESOS SUBGRUPOS'!B$2:C$193,2,FALSE)</f>
        <v>10</v>
      </c>
      <c r="G746" s="6" t="s">
        <v>396</v>
      </c>
      <c r="H746" s="7" t="s">
        <v>15</v>
      </c>
      <c r="I746" s="5">
        <v>20</v>
      </c>
      <c r="M746" s="5" t="s">
        <v>500</v>
      </c>
    </row>
    <row r="747" spans="1:13" x14ac:dyDescent="0.25">
      <c r="A747" s="4">
        <v>878</v>
      </c>
      <c r="B747" s="5" t="s">
        <v>11</v>
      </c>
      <c r="C747" s="6" t="s">
        <v>381</v>
      </c>
      <c r="D747" s="5">
        <f>VLOOKUP(C747,'PESO GRUPO'!A$1:B$9,2,FALSE)</f>
        <v>20</v>
      </c>
      <c r="E747" s="6" t="s">
        <v>474</v>
      </c>
      <c r="F747" s="5">
        <f>VLOOKUP(E747,'PESOS SUBGRUPOS'!B$2:C$193,2,FALSE)</f>
        <v>10</v>
      </c>
      <c r="G747" s="6" t="s">
        <v>397</v>
      </c>
      <c r="H747" s="7" t="s">
        <v>15</v>
      </c>
      <c r="I747" s="5">
        <v>20</v>
      </c>
      <c r="M747" s="5" t="s">
        <v>500</v>
      </c>
    </row>
    <row r="748" spans="1:13" x14ac:dyDescent="0.25">
      <c r="A748" s="4">
        <v>879</v>
      </c>
      <c r="B748" s="5" t="s">
        <v>11</v>
      </c>
      <c r="C748" s="6" t="s">
        <v>381</v>
      </c>
      <c r="D748" s="5">
        <f>VLOOKUP(C748,'PESO GRUPO'!A$1:B$9,2,FALSE)</f>
        <v>20</v>
      </c>
      <c r="E748" s="6" t="s">
        <v>474</v>
      </c>
      <c r="F748" s="5">
        <f>VLOOKUP(E748,'PESOS SUBGRUPOS'!B$2:C$193,2,FALSE)</f>
        <v>10</v>
      </c>
      <c r="G748" s="6" t="s">
        <v>398</v>
      </c>
      <c r="H748" s="7" t="s">
        <v>15</v>
      </c>
      <c r="I748" s="5">
        <v>10</v>
      </c>
      <c r="M748" s="5" t="s">
        <v>500</v>
      </c>
    </row>
    <row r="749" spans="1:13" x14ac:dyDescent="0.25">
      <c r="A749" s="4">
        <v>880</v>
      </c>
      <c r="B749" s="5" t="s">
        <v>11</v>
      </c>
      <c r="C749" s="6" t="s">
        <v>381</v>
      </c>
      <c r="D749" s="5">
        <f>VLOOKUP(C749,'PESO GRUPO'!A$1:B$9,2,FALSE)</f>
        <v>20</v>
      </c>
      <c r="E749" s="6" t="s">
        <v>474</v>
      </c>
      <c r="F749" s="5">
        <f>VLOOKUP(E749,'PESOS SUBGRUPOS'!B$2:C$193,2,FALSE)</f>
        <v>10</v>
      </c>
      <c r="G749" s="6" t="s">
        <v>399</v>
      </c>
      <c r="H749" s="7" t="s">
        <v>15</v>
      </c>
      <c r="I749" s="5">
        <v>10</v>
      </c>
      <c r="M749" s="5" t="s">
        <v>500</v>
      </c>
    </row>
    <row r="750" spans="1:13" x14ac:dyDescent="0.25">
      <c r="A750" s="4">
        <v>881</v>
      </c>
      <c r="B750" s="5" t="s">
        <v>11</v>
      </c>
      <c r="C750" s="6" t="s">
        <v>381</v>
      </c>
      <c r="D750" s="5">
        <f>VLOOKUP(C750,'PESO GRUPO'!A$1:B$9,2,FALSE)</f>
        <v>20</v>
      </c>
      <c r="E750" s="6" t="s">
        <v>474</v>
      </c>
      <c r="F750" s="5">
        <f>VLOOKUP(E750,'PESOS SUBGRUPOS'!B$2:C$193,2,FALSE)</f>
        <v>10</v>
      </c>
      <c r="G750" s="6" t="s">
        <v>400</v>
      </c>
      <c r="H750" s="7" t="s">
        <v>15</v>
      </c>
      <c r="I750" s="5">
        <v>10</v>
      </c>
      <c r="M750" s="5" t="s">
        <v>500</v>
      </c>
    </row>
    <row r="751" spans="1:13" x14ac:dyDescent="0.25">
      <c r="A751" s="4">
        <v>882</v>
      </c>
      <c r="B751" s="5" t="s">
        <v>11</v>
      </c>
      <c r="C751" s="6" t="s">
        <v>381</v>
      </c>
      <c r="D751" s="5">
        <f>VLOOKUP(C751,'PESO GRUPO'!A$1:B$9,2,FALSE)</f>
        <v>20</v>
      </c>
      <c r="E751" s="6" t="s">
        <v>474</v>
      </c>
      <c r="F751" s="5">
        <f>VLOOKUP(E751,'PESOS SUBGRUPOS'!B$2:C$193,2,FALSE)</f>
        <v>10</v>
      </c>
      <c r="G751" s="6" t="s">
        <v>401</v>
      </c>
      <c r="H751" s="7" t="s">
        <v>15</v>
      </c>
      <c r="I751" s="5">
        <v>10</v>
      </c>
      <c r="M751" s="5" t="s">
        <v>500</v>
      </c>
    </row>
    <row r="752" spans="1:13" x14ac:dyDescent="0.25">
      <c r="A752" s="4">
        <v>883</v>
      </c>
      <c r="B752" s="5" t="s">
        <v>16</v>
      </c>
      <c r="C752" s="6" t="s">
        <v>381</v>
      </c>
      <c r="D752" s="5">
        <f>VLOOKUP(C752,'PESO GRUPO'!A$1:B$9,2,FALSE)</f>
        <v>20</v>
      </c>
      <c r="E752" s="6" t="s">
        <v>475</v>
      </c>
      <c r="F752" s="5">
        <f>VLOOKUP(E752,'PESOS SUBGRUPOS'!B$2:C$193,2,FALSE)</f>
        <v>10</v>
      </c>
      <c r="G752" s="6" t="s">
        <v>383</v>
      </c>
      <c r="H752" s="7" t="s">
        <v>15</v>
      </c>
      <c r="I752" s="5">
        <v>0</v>
      </c>
      <c r="M752" s="5" t="s">
        <v>500</v>
      </c>
    </row>
    <row r="753" spans="1:13" x14ac:dyDescent="0.25">
      <c r="A753" s="4">
        <v>884</v>
      </c>
      <c r="B753" s="5" t="s">
        <v>11</v>
      </c>
      <c r="C753" s="6" t="s">
        <v>381</v>
      </c>
      <c r="D753" s="5">
        <f>VLOOKUP(C753,'PESO GRUPO'!A$1:B$9,2,FALSE)</f>
        <v>20</v>
      </c>
      <c r="E753" s="6" t="s">
        <v>475</v>
      </c>
      <c r="F753" s="5">
        <f>VLOOKUP(E753,'PESOS SUBGRUPOS'!B$2:C$193,2,FALSE)</f>
        <v>10</v>
      </c>
      <c r="G753" s="6" t="s">
        <v>384</v>
      </c>
      <c r="H753" s="7" t="s">
        <v>15</v>
      </c>
      <c r="I753" s="5">
        <v>10</v>
      </c>
      <c r="M753" s="5" t="s">
        <v>500</v>
      </c>
    </row>
    <row r="754" spans="1:13" x14ac:dyDescent="0.25">
      <c r="A754" s="4">
        <v>885</v>
      </c>
      <c r="B754" s="5" t="s">
        <v>11</v>
      </c>
      <c r="C754" s="6" t="s">
        <v>381</v>
      </c>
      <c r="D754" s="5">
        <f>VLOOKUP(C754,'PESO GRUPO'!A$1:B$9,2,FALSE)</f>
        <v>20</v>
      </c>
      <c r="E754" s="6" t="s">
        <v>475</v>
      </c>
      <c r="F754" s="5">
        <f>VLOOKUP(E754,'PESOS SUBGRUPOS'!B$2:C$193,2,FALSE)</f>
        <v>10</v>
      </c>
      <c r="G754" s="6" t="s">
        <v>385</v>
      </c>
      <c r="H754" s="7" t="s">
        <v>15</v>
      </c>
      <c r="I754" s="5">
        <v>20</v>
      </c>
      <c r="M754" s="5" t="s">
        <v>500</v>
      </c>
    </row>
    <row r="755" spans="1:13" x14ac:dyDescent="0.25">
      <c r="A755" s="4">
        <v>886</v>
      </c>
      <c r="B755" s="5" t="s">
        <v>11</v>
      </c>
      <c r="C755" s="6" t="s">
        <v>381</v>
      </c>
      <c r="D755" s="5">
        <f>VLOOKUP(C755,'PESO GRUPO'!A$1:B$9,2,FALSE)</f>
        <v>20</v>
      </c>
      <c r="E755" s="6" t="s">
        <v>475</v>
      </c>
      <c r="F755" s="5">
        <f>VLOOKUP(E755,'PESOS SUBGRUPOS'!B$2:C$193,2,FALSE)</f>
        <v>10</v>
      </c>
      <c r="G755" s="6" t="s">
        <v>386</v>
      </c>
      <c r="H755" s="7" t="s">
        <v>15</v>
      </c>
      <c r="I755" s="5">
        <v>30</v>
      </c>
      <c r="M755" s="5" t="s">
        <v>500</v>
      </c>
    </row>
    <row r="756" spans="1:13" x14ac:dyDescent="0.25">
      <c r="A756" s="4">
        <v>887</v>
      </c>
      <c r="B756" s="5" t="s">
        <v>11</v>
      </c>
      <c r="C756" s="6" t="s">
        <v>381</v>
      </c>
      <c r="D756" s="5">
        <f>VLOOKUP(C756,'PESO GRUPO'!A$1:B$9,2,FALSE)</f>
        <v>20</v>
      </c>
      <c r="E756" s="6" t="s">
        <v>475</v>
      </c>
      <c r="F756" s="5">
        <f>VLOOKUP(E756,'PESOS SUBGRUPOS'!B$2:C$193,2,FALSE)</f>
        <v>10</v>
      </c>
      <c r="G756" s="6" t="s">
        <v>387</v>
      </c>
      <c r="H756" s="7" t="s">
        <v>15</v>
      </c>
      <c r="I756" s="5">
        <v>30</v>
      </c>
      <c r="M756" s="5" t="s">
        <v>500</v>
      </c>
    </row>
    <row r="757" spans="1:13" x14ac:dyDescent="0.25">
      <c r="A757" s="4">
        <v>888</v>
      </c>
      <c r="B757" s="5" t="s">
        <v>11</v>
      </c>
      <c r="C757" s="6" t="s">
        <v>381</v>
      </c>
      <c r="D757" s="5">
        <f>VLOOKUP(C757,'PESO GRUPO'!A$1:B$9,2,FALSE)</f>
        <v>20</v>
      </c>
      <c r="E757" s="6" t="s">
        <v>475</v>
      </c>
      <c r="F757" s="5">
        <f>VLOOKUP(E757,'PESOS SUBGRUPOS'!B$2:C$193,2,FALSE)</f>
        <v>10</v>
      </c>
      <c r="G757" s="6" t="s">
        <v>370</v>
      </c>
      <c r="H757" s="7" t="s">
        <v>15</v>
      </c>
      <c r="I757" s="5">
        <v>20</v>
      </c>
      <c r="M757" s="5" t="s">
        <v>500</v>
      </c>
    </row>
    <row r="758" spans="1:13" x14ac:dyDescent="0.25">
      <c r="A758" s="4">
        <v>889</v>
      </c>
      <c r="B758" s="5" t="s">
        <v>11</v>
      </c>
      <c r="C758" s="6" t="s">
        <v>381</v>
      </c>
      <c r="D758" s="5">
        <f>VLOOKUP(C758,'PESO GRUPO'!A$1:B$9,2,FALSE)</f>
        <v>20</v>
      </c>
      <c r="E758" s="6" t="s">
        <v>475</v>
      </c>
      <c r="F758" s="5">
        <f>VLOOKUP(E758,'PESOS SUBGRUPOS'!B$2:C$193,2,FALSE)</f>
        <v>10</v>
      </c>
      <c r="G758" s="6" t="s">
        <v>388</v>
      </c>
      <c r="H758" s="7" t="s">
        <v>15</v>
      </c>
      <c r="I758" s="5">
        <v>10</v>
      </c>
      <c r="M758" s="5" t="s">
        <v>500</v>
      </c>
    </row>
    <row r="759" spans="1:13" x14ac:dyDescent="0.25">
      <c r="A759" s="4">
        <v>890</v>
      </c>
      <c r="B759" s="5" t="s">
        <v>11</v>
      </c>
      <c r="C759" s="6" t="s">
        <v>381</v>
      </c>
      <c r="D759" s="5">
        <f>VLOOKUP(C759,'PESO GRUPO'!A$1:B$9,2,FALSE)</f>
        <v>20</v>
      </c>
      <c r="E759" s="6" t="s">
        <v>475</v>
      </c>
      <c r="F759" s="5">
        <f>VLOOKUP(E759,'PESOS SUBGRUPOS'!B$2:C$193,2,FALSE)</f>
        <v>10</v>
      </c>
      <c r="G759" s="6" t="s">
        <v>389</v>
      </c>
      <c r="H759" s="7" t="s">
        <v>15</v>
      </c>
      <c r="I759" s="5">
        <v>10</v>
      </c>
      <c r="M759" s="5" t="s">
        <v>500</v>
      </c>
    </row>
    <row r="760" spans="1:13" x14ac:dyDescent="0.25">
      <c r="A760" s="4">
        <v>891</v>
      </c>
      <c r="B760" s="5" t="s">
        <v>11</v>
      </c>
      <c r="C760" s="6" t="s">
        <v>381</v>
      </c>
      <c r="D760" s="5">
        <f>VLOOKUP(C760,'PESO GRUPO'!A$1:B$9,2,FALSE)</f>
        <v>20</v>
      </c>
      <c r="E760" s="6" t="s">
        <v>475</v>
      </c>
      <c r="F760" s="5">
        <f>VLOOKUP(E760,'PESOS SUBGRUPOS'!B$2:C$193,2,FALSE)</f>
        <v>10</v>
      </c>
      <c r="G760" s="6" t="s">
        <v>390</v>
      </c>
      <c r="H760" s="7" t="s">
        <v>15</v>
      </c>
      <c r="I760" s="5">
        <v>10</v>
      </c>
      <c r="M760" s="5" t="s">
        <v>500</v>
      </c>
    </row>
    <row r="761" spans="1:13" x14ac:dyDescent="0.25">
      <c r="A761" s="4">
        <v>892</v>
      </c>
      <c r="B761" s="5" t="s">
        <v>11</v>
      </c>
      <c r="C761" s="6" t="s">
        <v>381</v>
      </c>
      <c r="D761" s="5">
        <f>VLOOKUP(C761,'PESO GRUPO'!A$1:B$9,2,FALSE)</f>
        <v>20</v>
      </c>
      <c r="E761" s="6" t="s">
        <v>475</v>
      </c>
      <c r="F761" s="5">
        <f>VLOOKUP(E761,'PESOS SUBGRUPOS'!B$2:C$193,2,FALSE)</f>
        <v>10</v>
      </c>
      <c r="G761" s="6" t="s">
        <v>471</v>
      </c>
      <c r="H761" s="7" t="s">
        <v>15</v>
      </c>
      <c r="I761" s="5">
        <v>10</v>
      </c>
      <c r="M761" s="5" t="s">
        <v>500</v>
      </c>
    </row>
    <row r="762" spans="1:13" x14ac:dyDescent="0.25">
      <c r="A762" s="4">
        <v>893</v>
      </c>
      <c r="B762" s="5" t="s">
        <v>11</v>
      </c>
      <c r="C762" s="6" t="s">
        <v>381</v>
      </c>
      <c r="D762" s="5">
        <f>VLOOKUP(C762,'PESO GRUPO'!A$1:B$9,2,FALSE)</f>
        <v>20</v>
      </c>
      <c r="E762" s="6" t="s">
        <v>475</v>
      </c>
      <c r="F762" s="5">
        <f>VLOOKUP(E762,'PESOS SUBGRUPOS'!B$2:C$193,2,FALSE)</f>
        <v>10</v>
      </c>
      <c r="G762" s="6" t="s">
        <v>391</v>
      </c>
      <c r="H762" s="7" t="s">
        <v>15</v>
      </c>
      <c r="I762" s="5">
        <v>10</v>
      </c>
      <c r="M762" s="5" t="s">
        <v>500</v>
      </c>
    </row>
    <row r="763" spans="1:13" x14ac:dyDescent="0.25">
      <c r="A763" s="4">
        <v>894</v>
      </c>
      <c r="B763" s="5" t="s">
        <v>11</v>
      </c>
      <c r="C763" s="6" t="s">
        <v>381</v>
      </c>
      <c r="D763" s="5">
        <f>VLOOKUP(C763,'PESO GRUPO'!A$1:B$9,2,FALSE)</f>
        <v>20</v>
      </c>
      <c r="E763" s="6" t="s">
        <v>475</v>
      </c>
      <c r="F763" s="5">
        <f>VLOOKUP(E763,'PESOS SUBGRUPOS'!B$2:C$193,2,FALSE)</f>
        <v>10</v>
      </c>
      <c r="G763" s="6" t="s">
        <v>392</v>
      </c>
      <c r="H763" s="7" t="s">
        <v>15</v>
      </c>
      <c r="I763" s="5">
        <v>10</v>
      </c>
      <c r="M763" s="5" t="s">
        <v>500</v>
      </c>
    </row>
    <row r="764" spans="1:13" x14ac:dyDescent="0.25">
      <c r="A764" s="4">
        <v>895</v>
      </c>
      <c r="B764" s="5" t="s">
        <v>11</v>
      </c>
      <c r="C764" s="6" t="s">
        <v>381</v>
      </c>
      <c r="D764" s="5">
        <f>VLOOKUP(C764,'PESO GRUPO'!A$1:B$9,2,FALSE)</f>
        <v>20</v>
      </c>
      <c r="E764" s="6" t="s">
        <v>475</v>
      </c>
      <c r="F764" s="5">
        <f>VLOOKUP(E764,'PESOS SUBGRUPOS'!B$2:C$193,2,FALSE)</f>
        <v>10</v>
      </c>
      <c r="G764" s="6" t="s">
        <v>337</v>
      </c>
      <c r="H764" s="7" t="s">
        <v>15</v>
      </c>
      <c r="I764" s="5">
        <v>30</v>
      </c>
      <c r="M764" s="5" t="s">
        <v>500</v>
      </c>
    </row>
    <row r="765" spans="1:13" x14ac:dyDescent="0.25">
      <c r="A765" s="4">
        <v>896</v>
      </c>
      <c r="B765" s="5" t="s">
        <v>11</v>
      </c>
      <c r="C765" s="6" t="s">
        <v>381</v>
      </c>
      <c r="D765" s="5">
        <f>VLOOKUP(C765,'PESO GRUPO'!A$1:B$9,2,FALSE)</f>
        <v>20</v>
      </c>
      <c r="E765" s="6" t="s">
        <v>475</v>
      </c>
      <c r="F765" s="5">
        <f>VLOOKUP(E765,'PESOS SUBGRUPOS'!B$2:C$193,2,FALSE)</f>
        <v>10</v>
      </c>
      <c r="G765" s="6" t="s">
        <v>393</v>
      </c>
      <c r="H765" s="7" t="s">
        <v>15</v>
      </c>
      <c r="I765" s="5">
        <v>10</v>
      </c>
      <c r="M765" s="5" t="s">
        <v>500</v>
      </c>
    </row>
    <row r="766" spans="1:13" x14ac:dyDescent="0.25">
      <c r="A766" s="4">
        <v>897</v>
      </c>
      <c r="B766" s="5" t="s">
        <v>11</v>
      </c>
      <c r="C766" s="6" t="s">
        <v>381</v>
      </c>
      <c r="D766" s="5">
        <f>VLOOKUP(C766,'PESO GRUPO'!A$1:B$9,2,FALSE)</f>
        <v>20</v>
      </c>
      <c r="E766" s="6" t="s">
        <v>475</v>
      </c>
      <c r="F766" s="5">
        <f>VLOOKUP(E766,'PESOS SUBGRUPOS'!B$2:C$193,2,FALSE)</f>
        <v>10</v>
      </c>
      <c r="G766" s="6" t="s">
        <v>394</v>
      </c>
      <c r="H766" s="7" t="s">
        <v>15</v>
      </c>
      <c r="I766" s="5">
        <v>30</v>
      </c>
      <c r="M766" s="5" t="s">
        <v>500</v>
      </c>
    </row>
    <row r="767" spans="1:13" x14ac:dyDescent="0.25">
      <c r="A767" s="4">
        <v>898</v>
      </c>
      <c r="B767" s="5" t="s">
        <v>11</v>
      </c>
      <c r="C767" s="6" t="s">
        <v>381</v>
      </c>
      <c r="D767" s="5">
        <f>VLOOKUP(C767,'PESO GRUPO'!A$1:B$9,2,FALSE)</f>
        <v>20</v>
      </c>
      <c r="E767" s="6" t="s">
        <v>475</v>
      </c>
      <c r="F767" s="5">
        <f>VLOOKUP(E767,'PESOS SUBGRUPOS'!B$2:C$193,2,FALSE)</f>
        <v>10</v>
      </c>
      <c r="G767" s="6" t="s">
        <v>395</v>
      </c>
      <c r="H767" s="7" t="s">
        <v>15</v>
      </c>
      <c r="I767" s="5">
        <v>10</v>
      </c>
      <c r="M767" s="5" t="s">
        <v>500</v>
      </c>
    </row>
    <row r="768" spans="1:13" x14ac:dyDescent="0.25">
      <c r="A768" s="4">
        <v>899</v>
      </c>
      <c r="B768" s="5" t="s">
        <v>11</v>
      </c>
      <c r="C768" s="6" t="s">
        <v>381</v>
      </c>
      <c r="D768" s="5">
        <f>VLOOKUP(C768,'PESO GRUPO'!A$1:B$9,2,FALSE)</f>
        <v>20</v>
      </c>
      <c r="E768" s="6" t="s">
        <v>475</v>
      </c>
      <c r="F768" s="5">
        <f>VLOOKUP(E768,'PESOS SUBGRUPOS'!B$2:C$193,2,FALSE)</f>
        <v>10</v>
      </c>
      <c r="G768" s="6" t="s">
        <v>396</v>
      </c>
      <c r="H768" s="7" t="s">
        <v>15</v>
      </c>
      <c r="I768" s="5">
        <v>20</v>
      </c>
      <c r="M768" s="5" t="s">
        <v>500</v>
      </c>
    </row>
    <row r="769" spans="1:13" x14ac:dyDescent="0.25">
      <c r="A769" s="4">
        <v>900</v>
      </c>
      <c r="B769" s="5" t="s">
        <v>11</v>
      </c>
      <c r="C769" s="6" t="s">
        <v>381</v>
      </c>
      <c r="D769" s="5">
        <f>VLOOKUP(C769,'PESO GRUPO'!A$1:B$9,2,FALSE)</f>
        <v>20</v>
      </c>
      <c r="E769" s="6" t="s">
        <v>475</v>
      </c>
      <c r="F769" s="5">
        <f>VLOOKUP(E769,'PESOS SUBGRUPOS'!B$2:C$193,2,FALSE)</f>
        <v>10</v>
      </c>
      <c r="G769" s="6" t="s">
        <v>397</v>
      </c>
      <c r="H769" s="7" t="s">
        <v>15</v>
      </c>
      <c r="I769" s="5">
        <v>20</v>
      </c>
      <c r="M769" s="5" t="s">
        <v>500</v>
      </c>
    </row>
    <row r="770" spans="1:13" x14ac:dyDescent="0.25">
      <c r="A770" s="4">
        <v>901</v>
      </c>
      <c r="B770" s="5" t="s">
        <v>11</v>
      </c>
      <c r="C770" s="6" t="s">
        <v>381</v>
      </c>
      <c r="D770" s="5">
        <f>VLOOKUP(C770,'PESO GRUPO'!A$1:B$9,2,FALSE)</f>
        <v>20</v>
      </c>
      <c r="E770" s="6" t="s">
        <v>475</v>
      </c>
      <c r="F770" s="5">
        <f>VLOOKUP(E770,'PESOS SUBGRUPOS'!B$2:C$193,2,FALSE)</f>
        <v>10</v>
      </c>
      <c r="G770" s="6" t="s">
        <v>398</v>
      </c>
      <c r="H770" s="7" t="s">
        <v>15</v>
      </c>
      <c r="I770" s="5">
        <v>10</v>
      </c>
      <c r="M770" s="5" t="s">
        <v>500</v>
      </c>
    </row>
    <row r="771" spans="1:13" x14ac:dyDescent="0.25">
      <c r="A771" s="4">
        <v>902</v>
      </c>
      <c r="B771" s="5" t="s">
        <v>11</v>
      </c>
      <c r="C771" s="6" t="s">
        <v>381</v>
      </c>
      <c r="D771" s="5">
        <f>VLOOKUP(C771,'PESO GRUPO'!A$1:B$9,2,FALSE)</f>
        <v>20</v>
      </c>
      <c r="E771" s="6" t="s">
        <v>475</v>
      </c>
      <c r="F771" s="5">
        <f>VLOOKUP(E771,'PESOS SUBGRUPOS'!B$2:C$193,2,FALSE)</f>
        <v>10</v>
      </c>
      <c r="G771" s="6" t="s">
        <v>399</v>
      </c>
      <c r="H771" s="7" t="s">
        <v>15</v>
      </c>
      <c r="I771" s="5">
        <v>10</v>
      </c>
      <c r="M771" s="5" t="s">
        <v>500</v>
      </c>
    </row>
    <row r="772" spans="1:13" x14ac:dyDescent="0.25">
      <c r="A772" s="4">
        <v>903</v>
      </c>
      <c r="B772" s="5" t="s">
        <v>11</v>
      </c>
      <c r="C772" s="6" t="s">
        <v>381</v>
      </c>
      <c r="D772" s="5">
        <f>VLOOKUP(C772,'PESO GRUPO'!A$1:B$9,2,FALSE)</f>
        <v>20</v>
      </c>
      <c r="E772" s="6" t="s">
        <v>475</v>
      </c>
      <c r="F772" s="5">
        <f>VLOOKUP(E772,'PESOS SUBGRUPOS'!B$2:C$193,2,FALSE)</f>
        <v>10</v>
      </c>
      <c r="G772" s="6" t="s">
        <v>400</v>
      </c>
      <c r="H772" s="7" t="s">
        <v>15</v>
      </c>
      <c r="I772" s="5">
        <v>10</v>
      </c>
      <c r="M772" s="5" t="s">
        <v>500</v>
      </c>
    </row>
    <row r="773" spans="1:13" x14ac:dyDescent="0.25">
      <c r="A773" s="4">
        <v>904</v>
      </c>
      <c r="B773" s="5" t="s">
        <v>11</v>
      </c>
      <c r="C773" s="6" t="s">
        <v>381</v>
      </c>
      <c r="D773" s="5">
        <f>VLOOKUP(C773,'PESO GRUPO'!A$1:B$9,2,FALSE)</f>
        <v>20</v>
      </c>
      <c r="E773" s="6" t="s">
        <v>475</v>
      </c>
      <c r="F773" s="5">
        <f>VLOOKUP(E773,'PESOS SUBGRUPOS'!B$2:C$193,2,FALSE)</f>
        <v>10</v>
      </c>
      <c r="G773" s="6" t="s">
        <v>401</v>
      </c>
      <c r="H773" s="7" t="s">
        <v>15</v>
      </c>
      <c r="I773" s="5">
        <v>10</v>
      </c>
      <c r="M773" s="5" t="s">
        <v>500</v>
      </c>
    </row>
    <row r="774" spans="1:13" x14ac:dyDescent="0.25">
      <c r="A774" s="4">
        <v>905</v>
      </c>
      <c r="B774" s="5" t="s">
        <v>16</v>
      </c>
      <c r="C774" s="6" t="s">
        <v>381</v>
      </c>
      <c r="D774" s="5">
        <f>VLOOKUP(C774,'PESO GRUPO'!A$1:B$9,2,FALSE)</f>
        <v>20</v>
      </c>
      <c r="E774" s="6" t="s">
        <v>476</v>
      </c>
      <c r="F774" s="5">
        <f>VLOOKUP(E774,'PESOS SUBGRUPOS'!B$2:C$193,2,FALSE)</f>
        <v>10</v>
      </c>
      <c r="G774" s="6" t="s">
        <v>383</v>
      </c>
      <c r="H774" s="7" t="s">
        <v>15</v>
      </c>
      <c r="I774" s="5">
        <v>0</v>
      </c>
      <c r="M774" s="5" t="s">
        <v>500</v>
      </c>
    </row>
    <row r="775" spans="1:13" x14ac:dyDescent="0.25">
      <c r="A775" s="4">
        <v>906</v>
      </c>
      <c r="B775" s="5" t="s">
        <v>11</v>
      </c>
      <c r="C775" s="6" t="s">
        <v>381</v>
      </c>
      <c r="D775" s="5">
        <f>VLOOKUP(C775,'PESO GRUPO'!A$1:B$9,2,FALSE)</f>
        <v>20</v>
      </c>
      <c r="E775" s="6" t="s">
        <v>476</v>
      </c>
      <c r="F775" s="5">
        <f>VLOOKUP(E775,'PESOS SUBGRUPOS'!B$2:C$193,2,FALSE)</f>
        <v>10</v>
      </c>
      <c r="G775" s="6" t="s">
        <v>384</v>
      </c>
      <c r="H775" s="7" t="s">
        <v>15</v>
      </c>
      <c r="I775" s="5">
        <v>10</v>
      </c>
      <c r="M775" s="5" t="s">
        <v>500</v>
      </c>
    </row>
    <row r="776" spans="1:13" x14ac:dyDescent="0.25">
      <c r="A776" s="4">
        <v>907</v>
      </c>
      <c r="B776" s="5" t="s">
        <v>11</v>
      </c>
      <c r="C776" s="6" t="s">
        <v>381</v>
      </c>
      <c r="D776" s="5">
        <f>VLOOKUP(C776,'PESO GRUPO'!A$1:B$9,2,FALSE)</f>
        <v>20</v>
      </c>
      <c r="E776" s="6" t="s">
        <v>476</v>
      </c>
      <c r="F776" s="5">
        <f>VLOOKUP(E776,'PESOS SUBGRUPOS'!B$2:C$193,2,FALSE)</f>
        <v>10</v>
      </c>
      <c r="G776" s="6" t="s">
        <v>385</v>
      </c>
      <c r="H776" s="7" t="s">
        <v>15</v>
      </c>
      <c r="I776" s="5">
        <v>20</v>
      </c>
      <c r="M776" s="5" t="s">
        <v>500</v>
      </c>
    </row>
    <row r="777" spans="1:13" x14ac:dyDescent="0.25">
      <c r="A777" s="4">
        <v>908</v>
      </c>
      <c r="B777" s="5" t="s">
        <v>11</v>
      </c>
      <c r="C777" s="6" t="s">
        <v>381</v>
      </c>
      <c r="D777" s="5">
        <f>VLOOKUP(C777,'PESO GRUPO'!A$1:B$9,2,FALSE)</f>
        <v>20</v>
      </c>
      <c r="E777" s="6" t="s">
        <v>476</v>
      </c>
      <c r="F777" s="5">
        <f>VLOOKUP(E777,'PESOS SUBGRUPOS'!B$2:C$193,2,FALSE)</f>
        <v>10</v>
      </c>
      <c r="G777" s="6" t="s">
        <v>386</v>
      </c>
      <c r="H777" s="7" t="s">
        <v>15</v>
      </c>
      <c r="I777" s="5">
        <v>30</v>
      </c>
      <c r="M777" s="5" t="s">
        <v>500</v>
      </c>
    </row>
    <row r="778" spans="1:13" x14ac:dyDescent="0.25">
      <c r="A778" s="4">
        <v>909</v>
      </c>
      <c r="B778" s="5" t="s">
        <v>11</v>
      </c>
      <c r="C778" s="6" t="s">
        <v>381</v>
      </c>
      <c r="D778" s="5">
        <f>VLOOKUP(C778,'PESO GRUPO'!A$1:B$9,2,FALSE)</f>
        <v>20</v>
      </c>
      <c r="E778" s="6" t="s">
        <v>476</v>
      </c>
      <c r="F778" s="5">
        <f>VLOOKUP(E778,'PESOS SUBGRUPOS'!B$2:C$193,2,FALSE)</f>
        <v>10</v>
      </c>
      <c r="G778" s="6" t="s">
        <v>387</v>
      </c>
      <c r="H778" s="7" t="s">
        <v>15</v>
      </c>
      <c r="I778" s="5">
        <v>30</v>
      </c>
      <c r="M778" s="5" t="s">
        <v>500</v>
      </c>
    </row>
    <row r="779" spans="1:13" x14ac:dyDescent="0.25">
      <c r="A779" s="4">
        <v>910</v>
      </c>
      <c r="B779" s="5" t="s">
        <v>11</v>
      </c>
      <c r="C779" s="6" t="s">
        <v>381</v>
      </c>
      <c r="D779" s="5">
        <f>VLOOKUP(C779,'PESO GRUPO'!A$1:B$9,2,FALSE)</f>
        <v>20</v>
      </c>
      <c r="E779" s="6" t="s">
        <v>476</v>
      </c>
      <c r="F779" s="5">
        <f>VLOOKUP(E779,'PESOS SUBGRUPOS'!B$2:C$193,2,FALSE)</f>
        <v>10</v>
      </c>
      <c r="G779" s="6" t="s">
        <v>370</v>
      </c>
      <c r="H779" s="7" t="s">
        <v>15</v>
      </c>
      <c r="I779" s="5">
        <v>20</v>
      </c>
      <c r="M779" s="5" t="s">
        <v>500</v>
      </c>
    </row>
    <row r="780" spans="1:13" x14ac:dyDescent="0.25">
      <c r="A780" s="4">
        <v>911</v>
      </c>
      <c r="B780" s="5" t="s">
        <v>11</v>
      </c>
      <c r="C780" s="6" t="s">
        <v>381</v>
      </c>
      <c r="D780" s="5">
        <f>VLOOKUP(C780,'PESO GRUPO'!A$1:B$9,2,FALSE)</f>
        <v>20</v>
      </c>
      <c r="E780" s="6" t="s">
        <v>476</v>
      </c>
      <c r="F780" s="5">
        <f>VLOOKUP(E780,'PESOS SUBGRUPOS'!B$2:C$193,2,FALSE)</f>
        <v>10</v>
      </c>
      <c r="G780" s="6" t="s">
        <v>388</v>
      </c>
      <c r="H780" s="7" t="s">
        <v>15</v>
      </c>
      <c r="I780" s="5">
        <v>10</v>
      </c>
      <c r="M780" s="5" t="s">
        <v>500</v>
      </c>
    </row>
    <row r="781" spans="1:13" x14ac:dyDescent="0.25">
      <c r="A781" s="4">
        <v>912</v>
      </c>
      <c r="B781" s="5" t="s">
        <v>11</v>
      </c>
      <c r="C781" s="6" t="s">
        <v>381</v>
      </c>
      <c r="D781" s="5">
        <f>VLOOKUP(C781,'PESO GRUPO'!A$1:B$9,2,FALSE)</f>
        <v>20</v>
      </c>
      <c r="E781" s="6" t="s">
        <v>476</v>
      </c>
      <c r="F781" s="5">
        <f>VLOOKUP(E781,'PESOS SUBGRUPOS'!B$2:C$193,2,FALSE)</f>
        <v>10</v>
      </c>
      <c r="G781" s="6" t="s">
        <v>389</v>
      </c>
      <c r="H781" s="7" t="s">
        <v>15</v>
      </c>
      <c r="I781" s="5">
        <v>10</v>
      </c>
      <c r="M781" s="5" t="s">
        <v>500</v>
      </c>
    </row>
    <row r="782" spans="1:13" x14ac:dyDescent="0.25">
      <c r="A782" s="4">
        <v>913</v>
      </c>
      <c r="B782" s="5" t="s">
        <v>11</v>
      </c>
      <c r="C782" s="6" t="s">
        <v>381</v>
      </c>
      <c r="D782" s="5">
        <f>VLOOKUP(C782,'PESO GRUPO'!A$1:B$9,2,FALSE)</f>
        <v>20</v>
      </c>
      <c r="E782" s="6" t="s">
        <v>476</v>
      </c>
      <c r="F782" s="5">
        <f>VLOOKUP(E782,'PESOS SUBGRUPOS'!B$2:C$193,2,FALSE)</f>
        <v>10</v>
      </c>
      <c r="G782" s="6" t="s">
        <v>390</v>
      </c>
      <c r="H782" s="7" t="s">
        <v>15</v>
      </c>
      <c r="I782" s="5">
        <v>10</v>
      </c>
      <c r="M782" s="5" t="s">
        <v>500</v>
      </c>
    </row>
    <row r="783" spans="1:13" x14ac:dyDescent="0.25">
      <c r="A783" s="4">
        <v>914</v>
      </c>
      <c r="B783" s="5" t="s">
        <v>11</v>
      </c>
      <c r="C783" s="6" t="s">
        <v>381</v>
      </c>
      <c r="D783" s="5">
        <f>VLOOKUP(C783,'PESO GRUPO'!A$1:B$9,2,FALSE)</f>
        <v>20</v>
      </c>
      <c r="E783" s="6" t="s">
        <v>476</v>
      </c>
      <c r="F783" s="5">
        <f>VLOOKUP(E783,'PESOS SUBGRUPOS'!B$2:C$193,2,FALSE)</f>
        <v>10</v>
      </c>
      <c r="G783" s="6" t="s">
        <v>471</v>
      </c>
      <c r="H783" s="7" t="s">
        <v>15</v>
      </c>
      <c r="I783" s="5">
        <v>10</v>
      </c>
      <c r="M783" s="5" t="s">
        <v>500</v>
      </c>
    </row>
    <row r="784" spans="1:13" x14ac:dyDescent="0.25">
      <c r="A784" s="4">
        <v>915</v>
      </c>
      <c r="B784" s="5" t="s">
        <v>11</v>
      </c>
      <c r="C784" s="6" t="s">
        <v>381</v>
      </c>
      <c r="D784" s="5">
        <f>VLOOKUP(C784,'PESO GRUPO'!A$1:B$9,2,FALSE)</f>
        <v>20</v>
      </c>
      <c r="E784" s="6" t="s">
        <v>476</v>
      </c>
      <c r="F784" s="5">
        <f>VLOOKUP(E784,'PESOS SUBGRUPOS'!B$2:C$193,2,FALSE)</f>
        <v>10</v>
      </c>
      <c r="G784" s="6" t="s">
        <v>391</v>
      </c>
      <c r="H784" s="7" t="s">
        <v>15</v>
      </c>
      <c r="I784" s="5">
        <v>10</v>
      </c>
      <c r="M784" s="5" t="s">
        <v>500</v>
      </c>
    </row>
    <row r="785" spans="1:13" x14ac:dyDescent="0.25">
      <c r="A785" s="4">
        <v>916</v>
      </c>
      <c r="B785" s="5" t="s">
        <v>11</v>
      </c>
      <c r="C785" s="6" t="s">
        <v>381</v>
      </c>
      <c r="D785" s="5">
        <f>VLOOKUP(C785,'PESO GRUPO'!A$1:B$9,2,FALSE)</f>
        <v>20</v>
      </c>
      <c r="E785" s="6" t="s">
        <v>476</v>
      </c>
      <c r="F785" s="5">
        <f>VLOOKUP(E785,'PESOS SUBGRUPOS'!B$2:C$193,2,FALSE)</f>
        <v>10</v>
      </c>
      <c r="G785" s="6" t="s">
        <v>392</v>
      </c>
      <c r="H785" s="7" t="s">
        <v>15</v>
      </c>
      <c r="I785" s="5">
        <v>10</v>
      </c>
      <c r="M785" s="5" t="s">
        <v>500</v>
      </c>
    </row>
    <row r="786" spans="1:13" x14ac:dyDescent="0.25">
      <c r="A786" s="4">
        <v>917</v>
      </c>
      <c r="B786" s="5" t="s">
        <v>11</v>
      </c>
      <c r="C786" s="6" t="s">
        <v>381</v>
      </c>
      <c r="D786" s="5">
        <f>VLOOKUP(C786,'PESO GRUPO'!A$1:B$9,2,FALSE)</f>
        <v>20</v>
      </c>
      <c r="E786" s="6" t="s">
        <v>476</v>
      </c>
      <c r="F786" s="5">
        <f>VLOOKUP(E786,'PESOS SUBGRUPOS'!B$2:C$193,2,FALSE)</f>
        <v>10</v>
      </c>
      <c r="G786" s="6" t="s">
        <v>337</v>
      </c>
      <c r="H786" s="7" t="s">
        <v>15</v>
      </c>
      <c r="I786" s="5">
        <v>30</v>
      </c>
      <c r="M786" s="5" t="s">
        <v>500</v>
      </c>
    </row>
    <row r="787" spans="1:13" x14ac:dyDescent="0.25">
      <c r="A787" s="4">
        <v>918</v>
      </c>
      <c r="B787" s="5" t="s">
        <v>11</v>
      </c>
      <c r="C787" s="6" t="s">
        <v>381</v>
      </c>
      <c r="D787" s="5">
        <f>VLOOKUP(C787,'PESO GRUPO'!A$1:B$9,2,FALSE)</f>
        <v>20</v>
      </c>
      <c r="E787" s="6" t="s">
        <v>476</v>
      </c>
      <c r="F787" s="5">
        <f>VLOOKUP(E787,'PESOS SUBGRUPOS'!B$2:C$193,2,FALSE)</f>
        <v>10</v>
      </c>
      <c r="G787" s="6" t="s">
        <v>393</v>
      </c>
      <c r="H787" s="7" t="s">
        <v>15</v>
      </c>
      <c r="I787" s="5">
        <v>10</v>
      </c>
      <c r="M787" s="5" t="s">
        <v>500</v>
      </c>
    </row>
    <row r="788" spans="1:13" x14ac:dyDescent="0.25">
      <c r="A788" s="4">
        <v>919</v>
      </c>
      <c r="B788" s="5" t="s">
        <v>11</v>
      </c>
      <c r="C788" s="6" t="s">
        <v>381</v>
      </c>
      <c r="D788" s="5">
        <f>VLOOKUP(C788,'PESO GRUPO'!A$1:B$9,2,FALSE)</f>
        <v>20</v>
      </c>
      <c r="E788" s="6" t="s">
        <v>476</v>
      </c>
      <c r="F788" s="5">
        <f>VLOOKUP(E788,'PESOS SUBGRUPOS'!B$2:C$193,2,FALSE)</f>
        <v>10</v>
      </c>
      <c r="G788" s="6" t="s">
        <v>394</v>
      </c>
      <c r="H788" s="7" t="s">
        <v>15</v>
      </c>
      <c r="I788" s="5">
        <v>30</v>
      </c>
      <c r="M788" s="5" t="s">
        <v>500</v>
      </c>
    </row>
    <row r="789" spans="1:13" x14ac:dyDescent="0.25">
      <c r="A789" s="4">
        <v>920</v>
      </c>
      <c r="B789" s="5" t="s">
        <v>11</v>
      </c>
      <c r="C789" s="6" t="s">
        <v>381</v>
      </c>
      <c r="D789" s="5">
        <f>VLOOKUP(C789,'PESO GRUPO'!A$1:B$9,2,FALSE)</f>
        <v>20</v>
      </c>
      <c r="E789" s="6" t="s">
        <v>476</v>
      </c>
      <c r="F789" s="5">
        <f>VLOOKUP(E789,'PESOS SUBGRUPOS'!B$2:C$193,2,FALSE)</f>
        <v>10</v>
      </c>
      <c r="G789" s="6" t="s">
        <v>395</v>
      </c>
      <c r="H789" s="7" t="s">
        <v>15</v>
      </c>
      <c r="I789" s="5">
        <v>10</v>
      </c>
      <c r="M789" s="5" t="s">
        <v>500</v>
      </c>
    </row>
    <row r="790" spans="1:13" x14ac:dyDescent="0.25">
      <c r="A790" s="4">
        <v>921</v>
      </c>
      <c r="B790" s="5" t="s">
        <v>11</v>
      </c>
      <c r="C790" s="6" t="s">
        <v>381</v>
      </c>
      <c r="D790" s="5">
        <f>VLOOKUP(C790,'PESO GRUPO'!A$1:B$9,2,FALSE)</f>
        <v>20</v>
      </c>
      <c r="E790" s="6" t="s">
        <v>476</v>
      </c>
      <c r="F790" s="5">
        <f>VLOOKUP(E790,'PESOS SUBGRUPOS'!B$2:C$193,2,FALSE)</f>
        <v>10</v>
      </c>
      <c r="G790" s="6" t="s">
        <v>396</v>
      </c>
      <c r="H790" s="7" t="s">
        <v>15</v>
      </c>
      <c r="I790" s="5">
        <v>20</v>
      </c>
      <c r="M790" s="5" t="s">
        <v>500</v>
      </c>
    </row>
    <row r="791" spans="1:13" x14ac:dyDescent="0.25">
      <c r="A791" s="4">
        <v>922</v>
      </c>
      <c r="B791" s="5" t="s">
        <v>11</v>
      </c>
      <c r="C791" s="6" t="s">
        <v>381</v>
      </c>
      <c r="D791" s="5">
        <f>VLOOKUP(C791,'PESO GRUPO'!A$1:B$9,2,FALSE)</f>
        <v>20</v>
      </c>
      <c r="E791" s="6" t="s">
        <v>476</v>
      </c>
      <c r="F791" s="5">
        <f>VLOOKUP(E791,'PESOS SUBGRUPOS'!B$2:C$193,2,FALSE)</f>
        <v>10</v>
      </c>
      <c r="G791" s="6" t="s">
        <v>397</v>
      </c>
      <c r="H791" s="7" t="s">
        <v>15</v>
      </c>
      <c r="I791" s="5">
        <v>20</v>
      </c>
      <c r="M791" s="5" t="s">
        <v>500</v>
      </c>
    </row>
    <row r="792" spans="1:13" x14ac:dyDescent="0.25">
      <c r="A792" s="4">
        <v>923</v>
      </c>
      <c r="B792" s="5" t="s">
        <v>11</v>
      </c>
      <c r="C792" s="6" t="s">
        <v>381</v>
      </c>
      <c r="D792" s="5">
        <f>VLOOKUP(C792,'PESO GRUPO'!A$1:B$9,2,FALSE)</f>
        <v>20</v>
      </c>
      <c r="E792" s="6" t="s">
        <v>476</v>
      </c>
      <c r="F792" s="5">
        <f>VLOOKUP(E792,'PESOS SUBGRUPOS'!B$2:C$193,2,FALSE)</f>
        <v>10</v>
      </c>
      <c r="G792" s="6" t="s">
        <v>398</v>
      </c>
      <c r="H792" s="7" t="s">
        <v>15</v>
      </c>
      <c r="I792" s="5">
        <v>10</v>
      </c>
      <c r="M792" s="5" t="s">
        <v>500</v>
      </c>
    </row>
    <row r="793" spans="1:13" x14ac:dyDescent="0.25">
      <c r="A793" s="4">
        <v>924</v>
      </c>
      <c r="B793" s="5" t="s">
        <v>11</v>
      </c>
      <c r="C793" s="6" t="s">
        <v>381</v>
      </c>
      <c r="D793" s="5">
        <f>VLOOKUP(C793,'PESO GRUPO'!A$1:B$9,2,FALSE)</f>
        <v>20</v>
      </c>
      <c r="E793" s="6" t="s">
        <v>476</v>
      </c>
      <c r="F793" s="5">
        <f>VLOOKUP(E793,'PESOS SUBGRUPOS'!B$2:C$193,2,FALSE)</f>
        <v>10</v>
      </c>
      <c r="G793" s="6" t="s">
        <v>399</v>
      </c>
      <c r="H793" s="7" t="s">
        <v>15</v>
      </c>
      <c r="I793" s="5">
        <v>10</v>
      </c>
      <c r="M793" s="5" t="s">
        <v>500</v>
      </c>
    </row>
    <row r="794" spans="1:13" x14ac:dyDescent="0.25">
      <c r="A794" s="4">
        <v>925</v>
      </c>
      <c r="B794" s="5" t="s">
        <v>11</v>
      </c>
      <c r="C794" s="6" t="s">
        <v>381</v>
      </c>
      <c r="D794" s="5">
        <f>VLOOKUP(C794,'PESO GRUPO'!A$1:B$9,2,FALSE)</f>
        <v>20</v>
      </c>
      <c r="E794" s="6" t="s">
        <v>476</v>
      </c>
      <c r="F794" s="5">
        <f>VLOOKUP(E794,'PESOS SUBGRUPOS'!B$2:C$193,2,FALSE)</f>
        <v>10</v>
      </c>
      <c r="G794" s="6" t="s">
        <v>400</v>
      </c>
      <c r="H794" s="7" t="s">
        <v>15</v>
      </c>
      <c r="I794" s="5">
        <v>10</v>
      </c>
      <c r="M794" s="5" t="s">
        <v>500</v>
      </c>
    </row>
    <row r="795" spans="1:13" x14ac:dyDescent="0.25">
      <c r="A795" s="4">
        <v>926</v>
      </c>
      <c r="B795" s="5" t="s">
        <v>11</v>
      </c>
      <c r="C795" s="6" t="s">
        <v>381</v>
      </c>
      <c r="D795" s="5">
        <f>VLOOKUP(C795,'PESO GRUPO'!A$1:B$9,2,FALSE)</f>
        <v>20</v>
      </c>
      <c r="E795" s="6" t="s">
        <v>476</v>
      </c>
      <c r="F795" s="5">
        <f>VLOOKUP(E795,'PESOS SUBGRUPOS'!B$2:C$193,2,FALSE)</f>
        <v>10</v>
      </c>
      <c r="G795" s="6" t="s">
        <v>401</v>
      </c>
      <c r="H795" s="7" t="s">
        <v>15</v>
      </c>
      <c r="I795" s="5">
        <v>10</v>
      </c>
      <c r="M795" s="5" t="s">
        <v>500</v>
      </c>
    </row>
    <row r="796" spans="1:13" x14ac:dyDescent="0.25">
      <c r="A796" s="4">
        <v>927</v>
      </c>
      <c r="B796" s="5" t="s">
        <v>16</v>
      </c>
      <c r="C796" s="6" t="s">
        <v>381</v>
      </c>
      <c r="D796" s="5">
        <f>VLOOKUP(C796,'PESO GRUPO'!A$1:B$9,2,FALSE)</f>
        <v>20</v>
      </c>
      <c r="E796" s="6" t="s">
        <v>477</v>
      </c>
      <c r="F796" s="5">
        <f>VLOOKUP(E796,'PESOS SUBGRUPOS'!B$2:C$193,2,FALSE)</f>
        <v>10</v>
      </c>
      <c r="G796" s="6" t="s">
        <v>383</v>
      </c>
      <c r="H796" s="7" t="s">
        <v>15</v>
      </c>
      <c r="I796" s="5">
        <v>0</v>
      </c>
      <c r="M796" s="5" t="s">
        <v>500</v>
      </c>
    </row>
    <row r="797" spans="1:13" x14ac:dyDescent="0.25">
      <c r="A797" s="4">
        <v>928</v>
      </c>
      <c r="B797" s="5" t="s">
        <v>11</v>
      </c>
      <c r="C797" s="6" t="s">
        <v>381</v>
      </c>
      <c r="D797" s="5">
        <f>VLOOKUP(C797,'PESO GRUPO'!A$1:B$9,2,FALSE)</f>
        <v>20</v>
      </c>
      <c r="E797" s="6" t="s">
        <v>477</v>
      </c>
      <c r="F797" s="5">
        <f>VLOOKUP(E797,'PESOS SUBGRUPOS'!B$2:C$193,2,FALSE)</f>
        <v>10</v>
      </c>
      <c r="G797" s="6" t="s">
        <v>384</v>
      </c>
      <c r="H797" s="7" t="s">
        <v>15</v>
      </c>
      <c r="I797" s="5">
        <v>10</v>
      </c>
      <c r="M797" s="5" t="s">
        <v>500</v>
      </c>
    </row>
    <row r="798" spans="1:13" x14ac:dyDescent="0.25">
      <c r="A798" s="4">
        <v>929</v>
      </c>
      <c r="B798" s="5" t="s">
        <v>11</v>
      </c>
      <c r="C798" s="6" t="s">
        <v>381</v>
      </c>
      <c r="D798" s="5">
        <f>VLOOKUP(C798,'PESO GRUPO'!A$1:B$9,2,FALSE)</f>
        <v>20</v>
      </c>
      <c r="E798" s="6" t="s">
        <v>477</v>
      </c>
      <c r="F798" s="5">
        <f>VLOOKUP(E798,'PESOS SUBGRUPOS'!B$2:C$193,2,FALSE)</f>
        <v>10</v>
      </c>
      <c r="G798" s="6" t="s">
        <v>385</v>
      </c>
      <c r="H798" s="7" t="s">
        <v>15</v>
      </c>
      <c r="I798" s="5">
        <v>20</v>
      </c>
      <c r="M798" s="5" t="s">
        <v>500</v>
      </c>
    </row>
    <row r="799" spans="1:13" x14ac:dyDescent="0.25">
      <c r="A799" s="4">
        <v>930</v>
      </c>
      <c r="B799" s="5" t="s">
        <v>11</v>
      </c>
      <c r="C799" s="6" t="s">
        <v>381</v>
      </c>
      <c r="D799" s="5">
        <f>VLOOKUP(C799,'PESO GRUPO'!A$1:B$9,2,FALSE)</f>
        <v>20</v>
      </c>
      <c r="E799" s="6" t="s">
        <v>477</v>
      </c>
      <c r="F799" s="5">
        <f>VLOOKUP(E799,'PESOS SUBGRUPOS'!B$2:C$193,2,FALSE)</f>
        <v>10</v>
      </c>
      <c r="G799" s="6" t="s">
        <v>386</v>
      </c>
      <c r="H799" s="7" t="s">
        <v>15</v>
      </c>
      <c r="I799" s="5">
        <v>30</v>
      </c>
      <c r="M799" s="5" t="s">
        <v>500</v>
      </c>
    </row>
    <row r="800" spans="1:13" x14ac:dyDescent="0.25">
      <c r="A800" s="4">
        <v>931</v>
      </c>
      <c r="B800" s="5" t="s">
        <v>11</v>
      </c>
      <c r="C800" s="6" t="s">
        <v>381</v>
      </c>
      <c r="D800" s="5">
        <f>VLOOKUP(C800,'PESO GRUPO'!A$1:B$9,2,FALSE)</f>
        <v>20</v>
      </c>
      <c r="E800" s="6" t="s">
        <v>477</v>
      </c>
      <c r="F800" s="5">
        <f>VLOOKUP(E800,'PESOS SUBGRUPOS'!B$2:C$193,2,FALSE)</f>
        <v>10</v>
      </c>
      <c r="G800" s="6" t="s">
        <v>387</v>
      </c>
      <c r="H800" s="7" t="s">
        <v>15</v>
      </c>
      <c r="I800" s="5">
        <v>30</v>
      </c>
      <c r="M800" s="5" t="s">
        <v>500</v>
      </c>
    </row>
    <row r="801" spans="1:13" x14ac:dyDescent="0.25">
      <c r="A801" s="4">
        <v>932</v>
      </c>
      <c r="B801" s="5" t="s">
        <v>11</v>
      </c>
      <c r="C801" s="6" t="s">
        <v>381</v>
      </c>
      <c r="D801" s="5">
        <f>VLOOKUP(C801,'PESO GRUPO'!A$1:B$9,2,FALSE)</f>
        <v>20</v>
      </c>
      <c r="E801" s="6" t="s">
        <v>477</v>
      </c>
      <c r="F801" s="5">
        <f>VLOOKUP(E801,'PESOS SUBGRUPOS'!B$2:C$193,2,FALSE)</f>
        <v>10</v>
      </c>
      <c r="G801" s="6" t="s">
        <v>370</v>
      </c>
      <c r="H801" s="7" t="s">
        <v>15</v>
      </c>
      <c r="I801" s="5">
        <v>20</v>
      </c>
      <c r="M801" s="5" t="s">
        <v>500</v>
      </c>
    </row>
    <row r="802" spans="1:13" x14ac:dyDescent="0.25">
      <c r="A802" s="4">
        <v>933</v>
      </c>
      <c r="B802" s="5" t="s">
        <v>11</v>
      </c>
      <c r="C802" s="6" t="s">
        <v>381</v>
      </c>
      <c r="D802" s="5">
        <f>VLOOKUP(C802,'PESO GRUPO'!A$1:B$9,2,FALSE)</f>
        <v>20</v>
      </c>
      <c r="E802" s="6" t="s">
        <v>477</v>
      </c>
      <c r="F802" s="5">
        <f>VLOOKUP(E802,'PESOS SUBGRUPOS'!B$2:C$193,2,FALSE)</f>
        <v>10</v>
      </c>
      <c r="G802" s="6" t="s">
        <v>388</v>
      </c>
      <c r="H802" s="7" t="s">
        <v>15</v>
      </c>
      <c r="I802" s="5">
        <v>10</v>
      </c>
      <c r="M802" s="5" t="s">
        <v>500</v>
      </c>
    </row>
    <row r="803" spans="1:13" x14ac:dyDescent="0.25">
      <c r="A803" s="4">
        <v>934</v>
      </c>
      <c r="B803" s="5" t="s">
        <v>11</v>
      </c>
      <c r="C803" s="6" t="s">
        <v>381</v>
      </c>
      <c r="D803" s="5">
        <f>VLOOKUP(C803,'PESO GRUPO'!A$1:B$9,2,FALSE)</f>
        <v>20</v>
      </c>
      <c r="E803" s="6" t="s">
        <v>477</v>
      </c>
      <c r="F803" s="5">
        <f>VLOOKUP(E803,'PESOS SUBGRUPOS'!B$2:C$193,2,FALSE)</f>
        <v>10</v>
      </c>
      <c r="G803" s="6" t="s">
        <v>389</v>
      </c>
      <c r="H803" s="7" t="s">
        <v>15</v>
      </c>
      <c r="I803" s="5">
        <v>10</v>
      </c>
      <c r="M803" s="5" t="s">
        <v>500</v>
      </c>
    </row>
    <row r="804" spans="1:13" x14ac:dyDescent="0.25">
      <c r="A804" s="4">
        <v>935</v>
      </c>
      <c r="B804" s="5" t="s">
        <v>11</v>
      </c>
      <c r="C804" s="6" t="s">
        <v>381</v>
      </c>
      <c r="D804" s="5">
        <f>VLOOKUP(C804,'PESO GRUPO'!A$1:B$9,2,FALSE)</f>
        <v>20</v>
      </c>
      <c r="E804" s="6" t="s">
        <v>477</v>
      </c>
      <c r="F804" s="5">
        <f>VLOOKUP(E804,'PESOS SUBGRUPOS'!B$2:C$193,2,FALSE)</f>
        <v>10</v>
      </c>
      <c r="G804" s="6" t="s">
        <v>390</v>
      </c>
      <c r="H804" s="7" t="s">
        <v>15</v>
      </c>
      <c r="I804" s="5">
        <v>10</v>
      </c>
      <c r="M804" s="5" t="s">
        <v>500</v>
      </c>
    </row>
    <row r="805" spans="1:13" x14ac:dyDescent="0.25">
      <c r="A805" s="4">
        <v>936</v>
      </c>
      <c r="B805" s="5" t="s">
        <v>11</v>
      </c>
      <c r="C805" s="6" t="s">
        <v>381</v>
      </c>
      <c r="D805" s="5">
        <f>VLOOKUP(C805,'PESO GRUPO'!A$1:B$9,2,FALSE)</f>
        <v>20</v>
      </c>
      <c r="E805" s="6" t="s">
        <v>477</v>
      </c>
      <c r="F805" s="5">
        <f>VLOOKUP(E805,'PESOS SUBGRUPOS'!B$2:C$193,2,FALSE)</f>
        <v>10</v>
      </c>
      <c r="G805" s="6" t="s">
        <v>471</v>
      </c>
      <c r="H805" s="7" t="s">
        <v>15</v>
      </c>
      <c r="I805" s="5">
        <v>10</v>
      </c>
      <c r="M805" s="5" t="s">
        <v>500</v>
      </c>
    </row>
    <row r="806" spans="1:13" x14ac:dyDescent="0.25">
      <c r="A806" s="4">
        <v>937</v>
      </c>
      <c r="B806" s="5" t="s">
        <v>11</v>
      </c>
      <c r="C806" s="6" t="s">
        <v>381</v>
      </c>
      <c r="D806" s="5">
        <f>VLOOKUP(C806,'PESO GRUPO'!A$1:B$9,2,FALSE)</f>
        <v>20</v>
      </c>
      <c r="E806" s="6" t="s">
        <v>477</v>
      </c>
      <c r="F806" s="5">
        <f>VLOOKUP(E806,'PESOS SUBGRUPOS'!B$2:C$193,2,FALSE)</f>
        <v>10</v>
      </c>
      <c r="G806" s="6" t="s">
        <v>391</v>
      </c>
      <c r="H806" s="7" t="s">
        <v>15</v>
      </c>
      <c r="I806" s="5">
        <v>10</v>
      </c>
      <c r="M806" s="5" t="s">
        <v>500</v>
      </c>
    </row>
    <row r="807" spans="1:13" x14ac:dyDescent="0.25">
      <c r="A807" s="4">
        <v>938</v>
      </c>
      <c r="B807" s="5" t="s">
        <v>11</v>
      </c>
      <c r="C807" s="6" t="s">
        <v>381</v>
      </c>
      <c r="D807" s="5">
        <f>VLOOKUP(C807,'PESO GRUPO'!A$1:B$9,2,FALSE)</f>
        <v>20</v>
      </c>
      <c r="E807" s="6" t="s">
        <v>477</v>
      </c>
      <c r="F807" s="5">
        <f>VLOOKUP(E807,'PESOS SUBGRUPOS'!B$2:C$193,2,FALSE)</f>
        <v>10</v>
      </c>
      <c r="G807" s="6" t="s">
        <v>392</v>
      </c>
      <c r="H807" s="7" t="s">
        <v>15</v>
      </c>
      <c r="I807" s="5">
        <v>10</v>
      </c>
      <c r="M807" s="5" t="s">
        <v>500</v>
      </c>
    </row>
    <row r="808" spans="1:13" x14ac:dyDescent="0.25">
      <c r="A808" s="4">
        <v>939</v>
      </c>
      <c r="B808" s="5" t="s">
        <v>11</v>
      </c>
      <c r="C808" s="6" t="s">
        <v>381</v>
      </c>
      <c r="D808" s="5">
        <f>VLOOKUP(C808,'PESO GRUPO'!A$1:B$9,2,FALSE)</f>
        <v>20</v>
      </c>
      <c r="E808" s="6" t="s">
        <v>477</v>
      </c>
      <c r="F808" s="5">
        <f>VLOOKUP(E808,'PESOS SUBGRUPOS'!B$2:C$193,2,FALSE)</f>
        <v>10</v>
      </c>
      <c r="G808" s="6" t="s">
        <v>337</v>
      </c>
      <c r="H808" s="7" t="s">
        <v>15</v>
      </c>
      <c r="I808" s="5">
        <v>30</v>
      </c>
      <c r="M808" s="5" t="s">
        <v>500</v>
      </c>
    </row>
    <row r="809" spans="1:13" x14ac:dyDescent="0.25">
      <c r="A809" s="4">
        <v>940</v>
      </c>
      <c r="B809" s="5" t="s">
        <v>11</v>
      </c>
      <c r="C809" s="6" t="s">
        <v>381</v>
      </c>
      <c r="D809" s="5">
        <f>VLOOKUP(C809,'PESO GRUPO'!A$1:B$9,2,FALSE)</f>
        <v>20</v>
      </c>
      <c r="E809" s="6" t="s">
        <v>477</v>
      </c>
      <c r="F809" s="5">
        <f>VLOOKUP(E809,'PESOS SUBGRUPOS'!B$2:C$193,2,FALSE)</f>
        <v>10</v>
      </c>
      <c r="G809" s="6" t="s">
        <v>393</v>
      </c>
      <c r="H809" s="7" t="s">
        <v>15</v>
      </c>
      <c r="I809" s="5">
        <v>10</v>
      </c>
      <c r="M809" s="5" t="s">
        <v>500</v>
      </c>
    </row>
    <row r="810" spans="1:13" x14ac:dyDescent="0.25">
      <c r="A810" s="4">
        <v>941</v>
      </c>
      <c r="B810" s="5" t="s">
        <v>11</v>
      </c>
      <c r="C810" s="6" t="s">
        <v>381</v>
      </c>
      <c r="D810" s="5">
        <f>VLOOKUP(C810,'PESO GRUPO'!A$1:B$9,2,FALSE)</f>
        <v>20</v>
      </c>
      <c r="E810" s="6" t="s">
        <v>477</v>
      </c>
      <c r="F810" s="5">
        <f>VLOOKUP(E810,'PESOS SUBGRUPOS'!B$2:C$193,2,FALSE)</f>
        <v>10</v>
      </c>
      <c r="G810" s="6" t="s">
        <v>394</v>
      </c>
      <c r="H810" s="7" t="s">
        <v>15</v>
      </c>
      <c r="I810" s="5">
        <v>30</v>
      </c>
      <c r="M810" s="5" t="s">
        <v>500</v>
      </c>
    </row>
    <row r="811" spans="1:13" x14ac:dyDescent="0.25">
      <c r="A811" s="4">
        <v>942</v>
      </c>
      <c r="B811" s="5" t="s">
        <v>11</v>
      </c>
      <c r="C811" s="6" t="s">
        <v>381</v>
      </c>
      <c r="D811" s="5">
        <f>VLOOKUP(C811,'PESO GRUPO'!A$1:B$9,2,FALSE)</f>
        <v>20</v>
      </c>
      <c r="E811" s="6" t="s">
        <v>477</v>
      </c>
      <c r="F811" s="5">
        <f>VLOOKUP(E811,'PESOS SUBGRUPOS'!B$2:C$193,2,FALSE)</f>
        <v>10</v>
      </c>
      <c r="G811" s="6" t="s">
        <v>395</v>
      </c>
      <c r="H811" s="7" t="s">
        <v>15</v>
      </c>
      <c r="I811" s="5">
        <v>10</v>
      </c>
      <c r="M811" s="5" t="s">
        <v>500</v>
      </c>
    </row>
    <row r="812" spans="1:13" x14ac:dyDescent="0.25">
      <c r="A812" s="4">
        <v>943</v>
      </c>
      <c r="B812" s="5" t="s">
        <v>11</v>
      </c>
      <c r="C812" s="6" t="s">
        <v>381</v>
      </c>
      <c r="D812" s="5">
        <f>VLOOKUP(C812,'PESO GRUPO'!A$1:B$9,2,FALSE)</f>
        <v>20</v>
      </c>
      <c r="E812" s="6" t="s">
        <v>477</v>
      </c>
      <c r="F812" s="5">
        <f>VLOOKUP(E812,'PESOS SUBGRUPOS'!B$2:C$193,2,FALSE)</f>
        <v>10</v>
      </c>
      <c r="G812" s="6" t="s">
        <v>396</v>
      </c>
      <c r="H812" s="7" t="s">
        <v>15</v>
      </c>
      <c r="I812" s="5">
        <v>20</v>
      </c>
      <c r="M812" s="5" t="s">
        <v>500</v>
      </c>
    </row>
    <row r="813" spans="1:13" x14ac:dyDescent="0.25">
      <c r="A813" s="4">
        <v>944</v>
      </c>
      <c r="B813" s="5" t="s">
        <v>11</v>
      </c>
      <c r="C813" s="6" t="s">
        <v>381</v>
      </c>
      <c r="D813" s="5">
        <f>VLOOKUP(C813,'PESO GRUPO'!A$1:B$9,2,FALSE)</f>
        <v>20</v>
      </c>
      <c r="E813" s="6" t="s">
        <v>477</v>
      </c>
      <c r="F813" s="5">
        <f>VLOOKUP(E813,'PESOS SUBGRUPOS'!B$2:C$193,2,FALSE)</f>
        <v>10</v>
      </c>
      <c r="G813" s="6" t="s">
        <v>397</v>
      </c>
      <c r="H813" s="7" t="s">
        <v>15</v>
      </c>
      <c r="I813" s="5">
        <v>20</v>
      </c>
      <c r="M813" s="5" t="s">
        <v>500</v>
      </c>
    </row>
    <row r="814" spans="1:13" x14ac:dyDescent="0.25">
      <c r="A814" s="4">
        <v>945</v>
      </c>
      <c r="B814" s="5" t="s">
        <v>11</v>
      </c>
      <c r="C814" s="6" t="s">
        <v>381</v>
      </c>
      <c r="D814" s="5">
        <f>VLOOKUP(C814,'PESO GRUPO'!A$1:B$9,2,FALSE)</f>
        <v>20</v>
      </c>
      <c r="E814" s="6" t="s">
        <v>477</v>
      </c>
      <c r="F814" s="5">
        <f>VLOOKUP(E814,'PESOS SUBGRUPOS'!B$2:C$193,2,FALSE)</f>
        <v>10</v>
      </c>
      <c r="G814" s="6" t="s">
        <v>398</v>
      </c>
      <c r="H814" s="7" t="s">
        <v>15</v>
      </c>
      <c r="I814" s="5">
        <v>10</v>
      </c>
      <c r="M814" s="5" t="s">
        <v>500</v>
      </c>
    </row>
    <row r="815" spans="1:13" x14ac:dyDescent="0.25">
      <c r="A815" s="4">
        <v>946</v>
      </c>
      <c r="B815" s="5" t="s">
        <v>11</v>
      </c>
      <c r="C815" s="6" t="s">
        <v>381</v>
      </c>
      <c r="D815" s="5">
        <f>VLOOKUP(C815,'PESO GRUPO'!A$1:B$9,2,FALSE)</f>
        <v>20</v>
      </c>
      <c r="E815" s="6" t="s">
        <v>477</v>
      </c>
      <c r="F815" s="5">
        <f>VLOOKUP(E815,'PESOS SUBGRUPOS'!B$2:C$193,2,FALSE)</f>
        <v>10</v>
      </c>
      <c r="G815" s="6" t="s">
        <v>399</v>
      </c>
      <c r="H815" s="7" t="s">
        <v>15</v>
      </c>
      <c r="I815" s="5">
        <v>10</v>
      </c>
      <c r="M815" s="5" t="s">
        <v>500</v>
      </c>
    </row>
    <row r="816" spans="1:13" x14ac:dyDescent="0.25">
      <c r="A816" s="4">
        <v>947</v>
      </c>
      <c r="B816" s="5" t="s">
        <v>11</v>
      </c>
      <c r="C816" s="6" t="s">
        <v>381</v>
      </c>
      <c r="D816" s="5">
        <f>VLOOKUP(C816,'PESO GRUPO'!A$1:B$9,2,FALSE)</f>
        <v>20</v>
      </c>
      <c r="E816" s="6" t="s">
        <v>477</v>
      </c>
      <c r="F816" s="5">
        <f>VLOOKUP(E816,'PESOS SUBGRUPOS'!B$2:C$193,2,FALSE)</f>
        <v>10</v>
      </c>
      <c r="G816" s="6" t="s">
        <v>400</v>
      </c>
      <c r="H816" s="7" t="s">
        <v>15</v>
      </c>
      <c r="I816" s="5">
        <v>10</v>
      </c>
      <c r="M816" s="5" t="s">
        <v>500</v>
      </c>
    </row>
    <row r="817" spans="1:13" x14ac:dyDescent="0.25">
      <c r="A817" s="4">
        <v>948</v>
      </c>
      <c r="B817" s="5" t="s">
        <v>11</v>
      </c>
      <c r="C817" s="6" t="s">
        <v>381</v>
      </c>
      <c r="D817" s="5">
        <f>VLOOKUP(C817,'PESO GRUPO'!A$1:B$9,2,FALSE)</f>
        <v>20</v>
      </c>
      <c r="E817" s="6" t="s">
        <v>477</v>
      </c>
      <c r="F817" s="5">
        <f>VLOOKUP(E817,'PESOS SUBGRUPOS'!B$2:C$193,2,FALSE)</f>
        <v>10</v>
      </c>
      <c r="G817" s="6" t="s">
        <v>401</v>
      </c>
      <c r="H817" s="7" t="s">
        <v>15</v>
      </c>
      <c r="I817" s="5">
        <v>10</v>
      </c>
      <c r="M817" s="5" t="s">
        <v>500</v>
      </c>
    </row>
    <row r="818" spans="1:13" x14ac:dyDescent="0.25">
      <c r="A818" s="4">
        <v>949</v>
      </c>
      <c r="B818" s="5" t="s">
        <v>16</v>
      </c>
      <c r="C818" s="6" t="s">
        <v>381</v>
      </c>
      <c r="D818" s="5">
        <f>VLOOKUP(C818,'PESO GRUPO'!A$1:B$9,2,FALSE)</f>
        <v>20</v>
      </c>
      <c r="E818" s="6" t="s">
        <v>478</v>
      </c>
      <c r="F818" s="5">
        <f>VLOOKUP(E818,'PESOS SUBGRUPOS'!B$2:C$193,2,FALSE)</f>
        <v>10</v>
      </c>
      <c r="G818" s="6" t="s">
        <v>383</v>
      </c>
      <c r="H818" s="7" t="s">
        <v>15</v>
      </c>
      <c r="I818" s="5">
        <v>0</v>
      </c>
      <c r="M818" s="5" t="s">
        <v>500</v>
      </c>
    </row>
    <row r="819" spans="1:13" x14ac:dyDescent="0.25">
      <c r="A819" s="4">
        <v>950</v>
      </c>
      <c r="B819" s="5" t="s">
        <v>11</v>
      </c>
      <c r="C819" s="6" t="s">
        <v>381</v>
      </c>
      <c r="D819" s="5">
        <f>VLOOKUP(C819,'PESO GRUPO'!A$1:B$9,2,FALSE)</f>
        <v>20</v>
      </c>
      <c r="E819" s="6" t="s">
        <v>478</v>
      </c>
      <c r="F819" s="5">
        <f>VLOOKUP(E819,'PESOS SUBGRUPOS'!B$2:C$193,2,FALSE)</f>
        <v>10</v>
      </c>
      <c r="G819" s="6" t="s">
        <v>384</v>
      </c>
      <c r="H819" s="7" t="s">
        <v>15</v>
      </c>
      <c r="I819" s="5">
        <v>10</v>
      </c>
      <c r="M819" s="5" t="s">
        <v>500</v>
      </c>
    </row>
    <row r="820" spans="1:13" x14ac:dyDescent="0.25">
      <c r="A820" s="4">
        <v>951</v>
      </c>
      <c r="B820" s="5" t="s">
        <v>11</v>
      </c>
      <c r="C820" s="6" t="s">
        <v>381</v>
      </c>
      <c r="D820" s="5">
        <f>VLOOKUP(C820,'PESO GRUPO'!A$1:B$9,2,FALSE)</f>
        <v>20</v>
      </c>
      <c r="E820" s="6" t="s">
        <v>478</v>
      </c>
      <c r="F820" s="5">
        <f>VLOOKUP(E820,'PESOS SUBGRUPOS'!B$2:C$193,2,FALSE)</f>
        <v>10</v>
      </c>
      <c r="G820" s="6" t="s">
        <v>385</v>
      </c>
      <c r="H820" s="7" t="s">
        <v>15</v>
      </c>
      <c r="I820" s="5">
        <v>20</v>
      </c>
      <c r="M820" s="5" t="s">
        <v>500</v>
      </c>
    </row>
    <row r="821" spans="1:13" x14ac:dyDescent="0.25">
      <c r="A821" s="4">
        <v>952</v>
      </c>
      <c r="B821" s="5" t="s">
        <v>11</v>
      </c>
      <c r="C821" s="6" t="s">
        <v>381</v>
      </c>
      <c r="D821" s="5">
        <f>VLOOKUP(C821,'PESO GRUPO'!A$1:B$9,2,FALSE)</f>
        <v>20</v>
      </c>
      <c r="E821" s="6" t="s">
        <v>478</v>
      </c>
      <c r="F821" s="5">
        <f>VLOOKUP(E821,'PESOS SUBGRUPOS'!B$2:C$193,2,FALSE)</f>
        <v>10</v>
      </c>
      <c r="G821" s="6" t="s">
        <v>386</v>
      </c>
      <c r="H821" s="7" t="s">
        <v>15</v>
      </c>
      <c r="I821" s="5">
        <v>30</v>
      </c>
      <c r="M821" s="5" t="s">
        <v>500</v>
      </c>
    </row>
    <row r="822" spans="1:13" x14ac:dyDescent="0.25">
      <c r="A822" s="4">
        <v>953</v>
      </c>
      <c r="B822" s="5" t="s">
        <v>11</v>
      </c>
      <c r="C822" s="6" t="s">
        <v>381</v>
      </c>
      <c r="D822" s="5">
        <f>VLOOKUP(C822,'PESO GRUPO'!A$1:B$9,2,FALSE)</f>
        <v>20</v>
      </c>
      <c r="E822" s="6" t="s">
        <v>478</v>
      </c>
      <c r="F822" s="5">
        <f>VLOOKUP(E822,'PESOS SUBGRUPOS'!B$2:C$193,2,FALSE)</f>
        <v>10</v>
      </c>
      <c r="G822" s="6" t="s">
        <v>387</v>
      </c>
      <c r="H822" s="7" t="s">
        <v>15</v>
      </c>
      <c r="I822" s="5">
        <v>30</v>
      </c>
      <c r="M822" s="5" t="s">
        <v>500</v>
      </c>
    </row>
    <row r="823" spans="1:13" x14ac:dyDescent="0.25">
      <c r="A823" s="4">
        <v>954</v>
      </c>
      <c r="B823" s="5" t="s">
        <v>11</v>
      </c>
      <c r="C823" s="6" t="s">
        <v>381</v>
      </c>
      <c r="D823" s="5">
        <f>VLOOKUP(C823,'PESO GRUPO'!A$1:B$9,2,FALSE)</f>
        <v>20</v>
      </c>
      <c r="E823" s="6" t="s">
        <v>478</v>
      </c>
      <c r="F823" s="5">
        <f>VLOOKUP(E823,'PESOS SUBGRUPOS'!B$2:C$193,2,FALSE)</f>
        <v>10</v>
      </c>
      <c r="G823" s="6" t="s">
        <v>370</v>
      </c>
      <c r="H823" s="7" t="s">
        <v>15</v>
      </c>
      <c r="I823" s="5">
        <v>20</v>
      </c>
      <c r="M823" s="5" t="s">
        <v>500</v>
      </c>
    </row>
    <row r="824" spans="1:13" x14ac:dyDescent="0.25">
      <c r="A824" s="4">
        <v>955</v>
      </c>
      <c r="B824" s="5" t="s">
        <v>11</v>
      </c>
      <c r="C824" s="6" t="s">
        <v>381</v>
      </c>
      <c r="D824" s="5">
        <f>VLOOKUP(C824,'PESO GRUPO'!A$1:B$9,2,FALSE)</f>
        <v>20</v>
      </c>
      <c r="E824" s="6" t="s">
        <v>478</v>
      </c>
      <c r="F824" s="5">
        <f>VLOOKUP(E824,'PESOS SUBGRUPOS'!B$2:C$193,2,FALSE)</f>
        <v>10</v>
      </c>
      <c r="G824" s="6" t="s">
        <v>388</v>
      </c>
      <c r="H824" s="7" t="s">
        <v>15</v>
      </c>
      <c r="I824" s="5">
        <v>10</v>
      </c>
      <c r="M824" s="5" t="s">
        <v>500</v>
      </c>
    </row>
    <row r="825" spans="1:13" x14ac:dyDescent="0.25">
      <c r="A825" s="4">
        <v>956</v>
      </c>
      <c r="B825" s="5" t="s">
        <v>11</v>
      </c>
      <c r="C825" s="6" t="s">
        <v>381</v>
      </c>
      <c r="D825" s="5">
        <f>VLOOKUP(C825,'PESO GRUPO'!A$1:B$9,2,FALSE)</f>
        <v>20</v>
      </c>
      <c r="E825" s="6" t="s">
        <v>478</v>
      </c>
      <c r="F825" s="5">
        <f>VLOOKUP(E825,'PESOS SUBGRUPOS'!B$2:C$193,2,FALSE)</f>
        <v>10</v>
      </c>
      <c r="G825" s="6" t="s">
        <v>389</v>
      </c>
      <c r="H825" s="7" t="s">
        <v>15</v>
      </c>
      <c r="I825" s="5">
        <v>10</v>
      </c>
      <c r="M825" s="5" t="s">
        <v>500</v>
      </c>
    </row>
    <row r="826" spans="1:13" x14ac:dyDescent="0.25">
      <c r="A826" s="4">
        <v>957</v>
      </c>
      <c r="B826" s="5" t="s">
        <v>11</v>
      </c>
      <c r="C826" s="6" t="s">
        <v>381</v>
      </c>
      <c r="D826" s="5">
        <f>VLOOKUP(C826,'PESO GRUPO'!A$1:B$9,2,FALSE)</f>
        <v>20</v>
      </c>
      <c r="E826" s="6" t="s">
        <v>478</v>
      </c>
      <c r="F826" s="5">
        <f>VLOOKUP(E826,'PESOS SUBGRUPOS'!B$2:C$193,2,FALSE)</f>
        <v>10</v>
      </c>
      <c r="G826" s="6" t="s">
        <v>390</v>
      </c>
      <c r="H826" s="7" t="s">
        <v>15</v>
      </c>
      <c r="I826" s="5">
        <v>10</v>
      </c>
      <c r="M826" s="5" t="s">
        <v>500</v>
      </c>
    </row>
    <row r="827" spans="1:13" x14ac:dyDescent="0.25">
      <c r="A827" s="4">
        <v>958</v>
      </c>
      <c r="B827" s="5" t="s">
        <v>11</v>
      </c>
      <c r="C827" s="6" t="s">
        <v>381</v>
      </c>
      <c r="D827" s="5">
        <f>VLOOKUP(C827,'PESO GRUPO'!A$1:B$9,2,FALSE)</f>
        <v>20</v>
      </c>
      <c r="E827" s="6" t="s">
        <v>478</v>
      </c>
      <c r="F827" s="5">
        <f>VLOOKUP(E827,'PESOS SUBGRUPOS'!B$2:C$193,2,FALSE)</f>
        <v>10</v>
      </c>
      <c r="G827" s="6" t="s">
        <v>471</v>
      </c>
      <c r="H827" s="7" t="s">
        <v>15</v>
      </c>
      <c r="I827" s="5">
        <v>10</v>
      </c>
      <c r="M827" s="5" t="s">
        <v>500</v>
      </c>
    </row>
    <row r="828" spans="1:13" x14ac:dyDescent="0.25">
      <c r="A828" s="4">
        <v>959</v>
      </c>
      <c r="B828" s="5" t="s">
        <v>11</v>
      </c>
      <c r="C828" s="6" t="s">
        <v>381</v>
      </c>
      <c r="D828" s="5">
        <f>VLOOKUP(C828,'PESO GRUPO'!A$1:B$9,2,FALSE)</f>
        <v>20</v>
      </c>
      <c r="E828" s="6" t="s">
        <v>478</v>
      </c>
      <c r="F828" s="5">
        <f>VLOOKUP(E828,'PESOS SUBGRUPOS'!B$2:C$193,2,FALSE)</f>
        <v>10</v>
      </c>
      <c r="G828" s="6" t="s">
        <v>391</v>
      </c>
      <c r="H828" s="7" t="s">
        <v>15</v>
      </c>
      <c r="I828" s="5">
        <v>10</v>
      </c>
      <c r="M828" s="5" t="s">
        <v>500</v>
      </c>
    </row>
    <row r="829" spans="1:13" x14ac:dyDescent="0.25">
      <c r="A829" s="4">
        <v>960</v>
      </c>
      <c r="B829" s="5" t="s">
        <v>11</v>
      </c>
      <c r="C829" s="6" t="s">
        <v>381</v>
      </c>
      <c r="D829" s="5">
        <f>VLOOKUP(C829,'PESO GRUPO'!A$1:B$9,2,FALSE)</f>
        <v>20</v>
      </c>
      <c r="E829" s="6" t="s">
        <v>478</v>
      </c>
      <c r="F829" s="5">
        <f>VLOOKUP(E829,'PESOS SUBGRUPOS'!B$2:C$193,2,FALSE)</f>
        <v>10</v>
      </c>
      <c r="G829" s="6" t="s">
        <v>392</v>
      </c>
      <c r="H829" s="7" t="s">
        <v>15</v>
      </c>
      <c r="I829" s="5">
        <v>10</v>
      </c>
      <c r="M829" s="5" t="s">
        <v>500</v>
      </c>
    </row>
    <row r="830" spans="1:13" x14ac:dyDescent="0.25">
      <c r="A830" s="4">
        <v>961</v>
      </c>
      <c r="B830" s="5" t="s">
        <v>11</v>
      </c>
      <c r="C830" s="6" t="s">
        <v>381</v>
      </c>
      <c r="D830" s="5">
        <f>VLOOKUP(C830,'PESO GRUPO'!A$1:B$9,2,FALSE)</f>
        <v>20</v>
      </c>
      <c r="E830" s="6" t="s">
        <v>478</v>
      </c>
      <c r="F830" s="5">
        <f>VLOOKUP(E830,'PESOS SUBGRUPOS'!B$2:C$193,2,FALSE)</f>
        <v>10</v>
      </c>
      <c r="G830" s="6" t="s">
        <v>337</v>
      </c>
      <c r="H830" s="7" t="s">
        <v>15</v>
      </c>
      <c r="I830" s="5">
        <v>30</v>
      </c>
      <c r="M830" s="5" t="s">
        <v>500</v>
      </c>
    </row>
    <row r="831" spans="1:13" x14ac:dyDescent="0.25">
      <c r="A831" s="4">
        <v>962</v>
      </c>
      <c r="B831" s="5" t="s">
        <v>11</v>
      </c>
      <c r="C831" s="6" t="s">
        <v>381</v>
      </c>
      <c r="D831" s="5">
        <f>VLOOKUP(C831,'PESO GRUPO'!A$1:B$9,2,FALSE)</f>
        <v>20</v>
      </c>
      <c r="E831" s="6" t="s">
        <v>478</v>
      </c>
      <c r="F831" s="5">
        <f>VLOOKUP(E831,'PESOS SUBGRUPOS'!B$2:C$193,2,FALSE)</f>
        <v>10</v>
      </c>
      <c r="G831" s="6" t="s">
        <v>393</v>
      </c>
      <c r="H831" s="7" t="s">
        <v>15</v>
      </c>
      <c r="I831" s="5">
        <v>10</v>
      </c>
      <c r="M831" s="5" t="s">
        <v>500</v>
      </c>
    </row>
    <row r="832" spans="1:13" x14ac:dyDescent="0.25">
      <c r="A832" s="4">
        <v>963</v>
      </c>
      <c r="B832" s="5" t="s">
        <v>11</v>
      </c>
      <c r="C832" s="6" t="s">
        <v>381</v>
      </c>
      <c r="D832" s="5">
        <f>VLOOKUP(C832,'PESO GRUPO'!A$1:B$9,2,FALSE)</f>
        <v>20</v>
      </c>
      <c r="E832" s="6" t="s">
        <v>478</v>
      </c>
      <c r="F832" s="5">
        <f>VLOOKUP(E832,'PESOS SUBGRUPOS'!B$2:C$193,2,FALSE)</f>
        <v>10</v>
      </c>
      <c r="G832" s="6" t="s">
        <v>394</v>
      </c>
      <c r="H832" s="7" t="s">
        <v>15</v>
      </c>
      <c r="I832" s="5">
        <v>30</v>
      </c>
      <c r="M832" s="5" t="s">
        <v>500</v>
      </c>
    </row>
    <row r="833" spans="1:13" x14ac:dyDescent="0.25">
      <c r="A833" s="4">
        <v>964</v>
      </c>
      <c r="B833" s="5" t="s">
        <v>11</v>
      </c>
      <c r="C833" s="6" t="s">
        <v>381</v>
      </c>
      <c r="D833" s="5">
        <f>VLOOKUP(C833,'PESO GRUPO'!A$1:B$9,2,FALSE)</f>
        <v>20</v>
      </c>
      <c r="E833" s="6" t="s">
        <v>478</v>
      </c>
      <c r="F833" s="5">
        <f>VLOOKUP(E833,'PESOS SUBGRUPOS'!B$2:C$193,2,FALSE)</f>
        <v>10</v>
      </c>
      <c r="G833" s="6" t="s">
        <v>395</v>
      </c>
      <c r="H833" s="7" t="s">
        <v>15</v>
      </c>
      <c r="I833" s="5">
        <v>10</v>
      </c>
      <c r="M833" s="5" t="s">
        <v>500</v>
      </c>
    </row>
    <row r="834" spans="1:13" x14ac:dyDescent="0.25">
      <c r="A834" s="4">
        <v>965</v>
      </c>
      <c r="B834" s="5" t="s">
        <v>11</v>
      </c>
      <c r="C834" s="6" t="s">
        <v>381</v>
      </c>
      <c r="D834" s="5">
        <f>VLOOKUP(C834,'PESO GRUPO'!A$1:B$9,2,FALSE)</f>
        <v>20</v>
      </c>
      <c r="E834" s="6" t="s">
        <v>478</v>
      </c>
      <c r="F834" s="5">
        <f>VLOOKUP(E834,'PESOS SUBGRUPOS'!B$2:C$193,2,FALSE)</f>
        <v>10</v>
      </c>
      <c r="G834" s="6" t="s">
        <v>396</v>
      </c>
      <c r="H834" s="7" t="s">
        <v>15</v>
      </c>
      <c r="I834" s="5">
        <v>20</v>
      </c>
      <c r="M834" s="5" t="s">
        <v>500</v>
      </c>
    </row>
    <row r="835" spans="1:13" x14ac:dyDescent="0.25">
      <c r="A835" s="4">
        <v>966</v>
      </c>
      <c r="B835" s="5" t="s">
        <v>11</v>
      </c>
      <c r="C835" s="6" t="s">
        <v>381</v>
      </c>
      <c r="D835" s="5">
        <f>VLOOKUP(C835,'PESO GRUPO'!A$1:B$9,2,FALSE)</f>
        <v>20</v>
      </c>
      <c r="E835" s="6" t="s">
        <v>478</v>
      </c>
      <c r="F835" s="5">
        <f>VLOOKUP(E835,'PESOS SUBGRUPOS'!B$2:C$193,2,FALSE)</f>
        <v>10</v>
      </c>
      <c r="G835" s="6" t="s">
        <v>397</v>
      </c>
      <c r="H835" s="7" t="s">
        <v>15</v>
      </c>
      <c r="I835" s="5">
        <v>20</v>
      </c>
      <c r="M835" s="5" t="s">
        <v>500</v>
      </c>
    </row>
    <row r="836" spans="1:13" x14ac:dyDescent="0.25">
      <c r="A836" s="4">
        <v>967</v>
      </c>
      <c r="B836" s="5" t="s">
        <v>11</v>
      </c>
      <c r="C836" s="6" t="s">
        <v>381</v>
      </c>
      <c r="D836" s="5">
        <f>VLOOKUP(C836,'PESO GRUPO'!A$1:B$9,2,FALSE)</f>
        <v>20</v>
      </c>
      <c r="E836" s="6" t="s">
        <v>478</v>
      </c>
      <c r="F836" s="5">
        <f>VLOOKUP(E836,'PESOS SUBGRUPOS'!B$2:C$193,2,FALSE)</f>
        <v>10</v>
      </c>
      <c r="G836" s="6" t="s">
        <v>398</v>
      </c>
      <c r="H836" s="7" t="s">
        <v>15</v>
      </c>
      <c r="I836" s="5">
        <v>10</v>
      </c>
      <c r="M836" s="5" t="s">
        <v>500</v>
      </c>
    </row>
    <row r="837" spans="1:13" x14ac:dyDescent="0.25">
      <c r="A837" s="4">
        <v>968</v>
      </c>
      <c r="B837" s="5" t="s">
        <v>11</v>
      </c>
      <c r="C837" s="6" t="s">
        <v>381</v>
      </c>
      <c r="D837" s="5">
        <f>VLOOKUP(C837,'PESO GRUPO'!A$1:B$9,2,FALSE)</f>
        <v>20</v>
      </c>
      <c r="E837" s="6" t="s">
        <v>478</v>
      </c>
      <c r="F837" s="5">
        <f>VLOOKUP(E837,'PESOS SUBGRUPOS'!B$2:C$193,2,FALSE)</f>
        <v>10</v>
      </c>
      <c r="G837" s="6" t="s">
        <v>399</v>
      </c>
      <c r="H837" s="7" t="s">
        <v>15</v>
      </c>
      <c r="I837" s="5">
        <v>10</v>
      </c>
      <c r="M837" s="5" t="s">
        <v>500</v>
      </c>
    </row>
    <row r="838" spans="1:13" x14ac:dyDescent="0.25">
      <c r="A838" s="4">
        <v>969</v>
      </c>
      <c r="B838" s="5" t="s">
        <v>11</v>
      </c>
      <c r="C838" s="6" t="s">
        <v>381</v>
      </c>
      <c r="D838" s="5">
        <f>VLOOKUP(C838,'PESO GRUPO'!A$1:B$9,2,FALSE)</f>
        <v>20</v>
      </c>
      <c r="E838" s="6" t="s">
        <v>478</v>
      </c>
      <c r="F838" s="5">
        <f>VLOOKUP(E838,'PESOS SUBGRUPOS'!B$2:C$193,2,FALSE)</f>
        <v>10</v>
      </c>
      <c r="G838" s="6" t="s">
        <v>400</v>
      </c>
      <c r="H838" s="7" t="s">
        <v>15</v>
      </c>
      <c r="I838" s="5">
        <v>10</v>
      </c>
      <c r="M838" s="5" t="s">
        <v>500</v>
      </c>
    </row>
    <row r="839" spans="1:13" x14ac:dyDescent="0.25">
      <c r="A839" s="4">
        <v>970</v>
      </c>
      <c r="B839" s="5" t="s">
        <v>11</v>
      </c>
      <c r="C839" s="6" t="s">
        <v>381</v>
      </c>
      <c r="D839" s="5">
        <f>VLOOKUP(C839,'PESO GRUPO'!A$1:B$9,2,FALSE)</f>
        <v>20</v>
      </c>
      <c r="E839" s="6" t="s">
        <v>478</v>
      </c>
      <c r="F839" s="5">
        <f>VLOOKUP(E839,'PESOS SUBGRUPOS'!B$2:C$193,2,FALSE)</f>
        <v>10</v>
      </c>
      <c r="G839" s="6" t="s">
        <v>401</v>
      </c>
      <c r="H839" s="7" t="s">
        <v>15</v>
      </c>
      <c r="I839" s="5">
        <v>10</v>
      </c>
      <c r="M839" s="5" t="s">
        <v>500</v>
      </c>
    </row>
    <row r="840" spans="1:13" x14ac:dyDescent="0.25">
      <c r="A840" s="4">
        <v>971</v>
      </c>
      <c r="B840" s="5" t="s">
        <v>16</v>
      </c>
      <c r="C840" s="6" t="s">
        <v>381</v>
      </c>
      <c r="D840" s="5">
        <f>VLOOKUP(C840,'PESO GRUPO'!A$1:B$9,2,FALSE)</f>
        <v>20</v>
      </c>
      <c r="E840" s="6" t="s">
        <v>479</v>
      </c>
      <c r="F840" s="5">
        <f>VLOOKUP(E840,'PESOS SUBGRUPOS'!B$2:C$193,2,FALSE)</f>
        <v>10</v>
      </c>
      <c r="G840" s="6" t="s">
        <v>383</v>
      </c>
      <c r="H840" s="7" t="s">
        <v>15</v>
      </c>
      <c r="I840" s="5">
        <v>0</v>
      </c>
      <c r="M840" s="5" t="s">
        <v>500</v>
      </c>
    </row>
    <row r="841" spans="1:13" x14ac:dyDescent="0.25">
      <c r="A841" s="4">
        <v>972</v>
      </c>
      <c r="B841" s="5" t="s">
        <v>11</v>
      </c>
      <c r="C841" s="6" t="s">
        <v>381</v>
      </c>
      <c r="D841" s="5">
        <f>VLOOKUP(C841,'PESO GRUPO'!A$1:B$9,2,FALSE)</f>
        <v>20</v>
      </c>
      <c r="E841" s="6" t="s">
        <v>479</v>
      </c>
      <c r="F841" s="5">
        <f>VLOOKUP(E841,'PESOS SUBGRUPOS'!B$2:C$193,2,FALSE)</f>
        <v>10</v>
      </c>
      <c r="G841" s="6" t="s">
        <v>384</v>
      </c>
      <c r="H841" s="7" t="s">
        <v>15</v>
      </c>
      <c r="I841" s="5">
        <v>10</v>
      </c>
      <c r="M841" s="5" t="s">
        <v>500</v>
      </c>
    </row>
    <row r="842" spans="1:13" x14ac:dyDescent="0.25">
      <c r="A842" s="4">
        <v>973</v>
      </c>
      <c r="B842" s="5" t="s">
        <v>11</v>
      </c>
      <c r="C842" s="6" t="s">
        <v>381</v>
      </c>
      <c r="D842" s="5">
        <f>VLOOKUP(C842,'PESO GRUPO'!A$1:B$9,2,FALSE)</f>
        <v>20</v>
      </c>
      <c r="E842" s="6" t="s">
        <v>479</v>
      </c>
      <c r="F842" s="5">
        <f>VLOOKUP(E842,'PESOS SUBGRUPOS'!B$2:C$193,2,FALSE)</f>
        <v>10</v>
      </c>
      <c r="G842" s="6" t="s">
        <v>385</v>
      </c>
      <c r="H842" s="7" t="s">
        <v>15</v>
      </c>
      <c r="I842" s="5">
        <v>20</v>
      </c>
      <c r="M842" s="5" t="s">
        <v>500</v>
      </c>
    </row>
    <row r="843" spans="1:13" x14ac:dyDescent="0.25">
      <c r="A843" s="4">
        <v>974</v>
      </c>
      <c r="B843" s="5" t="s">
        <v>11</v>
      </c>
      <c r="C843" s="6" t="s">
        <v>381</v>
      </c>
      <c r="D843" s="5">
        <f>VLOOKUP(C843,'PESO GRUPO'!A$1:B$9,2,FALSE)</f>
        <v>20</v>
      </c>
      <c r="E843" s="6" t="s">
        <v>479</v>
      </c>
      <c r="F843" s="5">
        <f>VLOOKUP(E843,'PESOS SUBGRUPOS'!B$2:C$193,2,FALSE)</f>
        <v>10</v>
      </c>
      <c r="G843" s="6" t="s">
        <v>386</v>
      </c>
      <c r="H843" s="7" t="s">
        <v>15</v>
      </c>
      <c r="I843" s="5">
        <v>30</v>
      </c>
      <c r="M843" s="5" t="s">
        <v>500</v>
      </c>
    </row>
    <row r="844" spans="1:13" x14ac:dyDescent="0.25">
      <c r="A844" s="4">
        <v>975</v>
      </c>
      <c r="B844" s="5" t="s">
        <v>11</v>
      </c>
      <c r="C844" s="6" t="s">
        <v>381</v>
      </c>
      <c r="D844" s="5">
        <f>VLOOKUP(C844,'PESO GRUPO'!A$1:B$9,2,FALSE)</f>
        <v>20</v>
      </c>
      <c r="E844" s="6" t="s">
        <v>479</v>
      </c>
      <c r="F844" s="5">
        <f>VLOOKUP(E844,'PESOS SUBGRUPOS'!B$2:C$193,2,FALSE)</f>
        <v>10</v>
      </c>
      <c r="G844" s="6" t="s">
        <v>387</v>
      </c>
      <c r="H844" s="7" t="s">
        <v>15</v>
      </c>
      <c r="I844" s="5">
        <v>30</v>
      </c>
      <c r="M844" s="5" t="s">
        <v>500</v>
      </c>
    </row>
    <row r="845" spans="1:13" x14ac:dyDescent="0.25">
      <c r="A845" s="4">
        <v>976</v>
      </c>
      <c r="B845" s="5" t="s">
        <v>11</v>
      </c>
      <c r="C845" s="6" t="s">
        <v>381</v>
      </c>
      <c r="D845" s="5">
        <f>VLOOKUP(C845,'PESO GRUPO'!A$1:B$9,2,FALSE)</f>
        <v>20</v>
      </c>
      <c r="E845" s="6" t="s">
        <v>479</v>
      </c>
      <c r="F845" s="5">
        <f>VLOOKUP(E845,'PESOS SUBGRUPOS'!B$2:C$193,2,FALSE)</f>
        <v>10</v>
      </c>
      <c r="G845" s="6" t="s">
        <v>370</v>
      </c>
      <c r="H845" s="7" t="s">
        <v>15</v>
      </c>
      <c r="I845" s="5">
        <v>20</v>
      </c>
      <c r="M845" s="5" t="s">
        <v>500</v>
      </c>
    </row>
    <row r="846" spans="1:13" x14ac:dyDescent="0.25">
      <c r="A846" s="4">
        <v>977</v>
      </c>
      <c r="B846" s="5" t="s">
        <v>11</v>
      </c>
      <c r="C846" s="6" t="s">
        <v>381</v>
      </c>
      <c r="D846" s="5">
        <f>VLOOKUP(C846,'PESO GRUPO'!A$1:B$9,2,FALSE)</f>
        <v>20</v>
      </c>
      <c r="E846" s="6" t="s">
        <v>479</v>
      </c>
      <c r="F846" s="5">
        <f>VLOOKUP(E846,'PESOS SUBGRUPOS'!B$2:C$193,2,FALSE)</f>
        <v>10</v>
      </c>
      <c r="G846" s="6" t="s">
        <v>388</v>
      </c>
      <c r="H846" s="7" t="s">
        <v>15</v>
      </c>
      <c r="I846" s="5">
        <v>10</v>
      </c>
      <c r="M846" s="5" t="s">
        <v>500</v>
      </c>
    </row>
    <row r="847" spans="1:13" x14ac:dyDescent="0.25">
      <c r="A847" s="4">
        <v>978</v>
      </c>
      <c r="B847" s="5" t="s">
        <v>11</v>
      </c>
      <c r="C847" s="6" t="s">
        <v>381</v>
      </c>
      <c r="D847" s="5">
        <f>VLOOKUP(C847,'PESO GRUPO'!A$1:B$9,2,FALSE)</f>
        <v>20</v>
      </c>
      <c r="E847" s="6" t="s">
        <v>479</v>
      </c>
      <c r="F847" s="5">
        <f>VLOOKUP(E847,'PESOS SUBGRUPOS'!B$2:C$193,2,FALSE)</f>
        <v>10</v>
      </c>
      <c r="G847" s="6" t="s">
        <v>389</v>
      </c>
      <c r="H847" s="7" t="s">
        <v>15</v>
      </c>
      <c r="I847" s="5">
        <v>10</v>
      </c>
      <c r="M847" s="5" t="s">
        <v>500</v>
      </c>
    </row>
    <row r="848" spans="1:13" x14ac:dyDescent="0.25">
      <c r="A848" s="4">
        <v>979</v>
      </c>
      <c r="B848" s="5" t="s">
        <v>11</v>
      </c>
      <c r="C848" s="6" t="s">
        <v>381</v>
      </c>
      <c r="D848" s="5">
        <f>VLOOKUP(C848,'PESO GRUPO'!A$1:B$9,2,FALSE)</f>
        <v>20</v>
      </c>
      <c r="E848" s="6" t="s">
        <v>479</v>
      </c>
      <c r="F848" s="5">
        <f>VLOOKUP(E848,'PESOS SUBGRUPOS'!B$2:C$193,2,FALSE)</f>
        <v>10</v>
      </c>
      <c r="G848" s="6" t="s">
        <v>390</v>
      </c>
      <c r="H848" s="7" t="s">
        <v>15</v>
      </c>
      <c r="I848" s="5">
        <v>10</v>
      </c>
      <c r="M848" s="5" t="s">
        <v>500</v>
      </c>
    </row>
    <row r="849" spans="1:13" x14ac:dyDescent="0.25">
      <c r="A849" s="4">
        <v>980</v>
      </c>
      <c r="B849" s="5" t="s">
        <v>11</v>
      </c>
      <c r="C849" s="6" t="s">
        <v>381</v>
      </c>
      <c r="D849" s="5">
        <f>VLOOKUP(C849,'PESO GRUPO'!A$1:B$9,2,FALSE)</f>
        <v>20</v>
      </c>
      <c r="E849" s="6" t="s">
        <v>479</v>
      </c>
      <c r="F849" s="5">
        <f>VLOOKUP(E849,'PESOS SUBGRUPOS'!B$2:C$193,2,FALSE)</f>
        <v>10</v>
      </c>
      <c r="G849" s="6" t="s">
        <v>471</v>
      </c>
      <c r="H849" s="7" t="s">
        <v>15</v>
      </c>
      <c r="I849" s="5">
        <v>10</v>
      </c>
      <c r="M849" s="5" t="s">
        <v>500</v>
      </c>
    </row>
    <row r="850" spans="1:13" x14ac:dyDescent="0.25">
      <c r="A850" s="4">
        <v>981</v>
      </c>
      <c r="B850" s="5" t="s">
        <v>11</v>
      </c>
      <c r="C850" s="6" t="s">
        <v>381</v>
      </c>
      <c r="D850" s="5">
        <f>VLOOKUP(C850,'PESO GRUPO'!A$1:B$9,2,FALSE)</f>
        <v>20</v>
      </c>
      <c r="E850" s="6" t="s">
        <v>479</v>
      </c>
      <c r="F850" s="5">
        <f>VLOOKUP(E850,'PESOS SUBGRUPOS'!B$2:C$193,2,FALSE)</f>
        <v>10</v>
      </c>
      <c r="G850" s="6" t="s">
        <v>391</v>
      </c>
      <c r="H850" s="7" t="s">
        <v>15</v>
      </c>
      <c r="I850" s="5">
        <v>10</v>
      </c>
      <c r="M850" s="5" t="s">
        <v>500</v>
      </c>
    </row>
    <row r="851" spans="1:13" x14ac:dyDescent="0.25">
      <c r="A851" s="4">
        <v>982</v>
      </c>
      <c r="B851" s="5" t="s">
        <v>11</v>
      </c>
      <c r="C851" s="6" t="s">
        <v>381</v>
      </c>
      <c r="D851" s="5">
        <f>VLOOKUP(C851,'PESO GRUPO'!A$1:B$9,2,FALSE)</f>
        <v>20</v>
      </c>
      <c r="E851" s="6" t="s">
        <v>479</v>
      </c>
      <c r="F851" s="5">
        <f>VLOOKUP(E851,'PESOS SUBGRUPOS'!B$2:C$193,2,FALSE)</f>
        <v>10</v>
      </c>
      <c r="G851" s="6" t="s">
        <v>392</v>
      </c>
      <c r="H851" s="7" t="s">
        <v>15</v>
      </c>
      <c r="I851" s="5">
        <v>10</v>
      </c>
      <c r="M851" s="5" t="s">
        <v>500</v>
      </c>
    </row>
    <row r="852" spans="1:13" x14ac:dyDescent="0.25">
      <c r="A852" s="4">
        <v>983</v>
      </c>
      <c r="B852" s="5" t="s">
        <v>11</v>
      </c>
      <c r="C852" s="6" t="s">
        <v>381</v>
      </c>
      <c r="D852" s="5">
        <f>VLOOKUP(C852,'PESO GRUPO'!A$1:B$9,2,FALSE)</f>
        <v>20</v>
      </c>
      <c r="E852" s="6" t="s">
        <v>479</v>
      </c>
      <c r="F852" s="5">
        <f>VLOOKUP(E852,'PESOS SUBGRUPOS'!B$2:C$193,2,FALSE)</f>
        <v>10</v>
      </c>
      <c r="G852" s="6" t="s">
        <v>337</v>
      </c>
      <c r="H852" s="7" t="s">
        <v>15</v>
      </c>
      <c r="I852" s="5">
        <v>30</v>
      </c>
      <c r="M852" s="5" t="s">
        <v>500</v>
      </c>
    </row>
    <row r="853" spans="1:13" x14ac:dyDescent="0.25">
      <c r="A853" s="4">
        <v>984</v>
      </c>
      <c r="B853" s="5" t="s">
        <v>11</v>
      </c>
      <c r="C853" s="6" t="s">
        <v>381</v>
      </c>
      <c r="D853" s="5">
        <f>VLOOKUP(C853,'PESO GRUPO'!A$1:B$9,2,FALSE)</f>
        <v>20</v>
      </c>
      <c r="E853" s="6" t="s">
        <v>479</v>
      </c>
      <c r="F853" s="5">
        <f>VLOOKUP(E853,'PESOS SUBGRUPOS'!B$2:C$193,2,FALSE)</f>
        <v>10</v>
      </c>
      <c r="G853" s="6" t="s">
        <v>393</v>
      </c>
      <c r="H853" s="7" t="s">
        <v>15</v>
      </c>
      <c r="I853" s="5">
        <v>10</v>
      </c>
      <c r="M853" s="5" t="s">
        <v>500</v>
      </c>
    </row>
    <row r="854" spans="1:13" x14ac:dyDescent="0.25">
      <c r="A854" s="4">
        <v>985</v>
      </c>
      <c r="B854" s="5" t="s">
        <v>11</v>
      </c>
      <c r="C854" s="6" t="s">
        <v>381</v>
      </c>
      <c r="D854" s="5">
        <f>VLOOKUP(C854,'PESO GRUPO'!A$1:B$9,2,FALSE)</f>
        <v>20</v>
      </c>
      <c r="E854" s="6" t="s">
        <v>479</v>
      </c>
      <c r="F854" s="5">
        <f>VLOOKUP(E854,'PESOS SUBGRUPOS'!B$2:C$193,2,FALSE)</f>
        <v>10</v>
      </c>
      <c r="G854" s="6" t="s">
        <v>394</v>
      </c>
      <c r="H854" s="7" t="s">
        <v>15</v>
      </c>
      <c r="I854" s="5">
        <v>30</v>
      </c>
      <c r="M854" s="5" t="s">
        <v>500</v>
      </c>
    </row>
    <row r="855" spans="1:13" x14ac:dyDescent="0.25">
      <c r="A855" s="4">
        <v>986</v>
      </c>
      <c r="B855" s="5" t="s">
        <v>11</v>
      </c>
      <c r="C855" s="6" t="s">
        <v>381</v>
      </c>
      <c r="D855" s="5">
        <f>VLOOKUP(C855,'PESO GRUPO'!A$1:B$9,2,FALSE)</f>
        <v>20</v>
      </c>
      <c r="E855" s="6" t="s">
        <v>479</v>
      </c>
      <c r="F855" s="5">
        <f>VLOOKUP(E855,'PESOS SUBGRUPOS'!B$2:C$193,2,FALSE)</f>
        <v>10</v>
      </c>
      <c r="G855" s="6" t="s">
        <v>395</v>
      </c>
      <c r="H855" s="7" t="s">
        <v>15</v>
      </c>
      <c r="I855" s="5">
        <v>10</v>
      </c>
      <c r="M855" s="5" t="s">
        <v>500</v>
      </c>
    </row>
    <row r="856" spans="1:13" x14ac:dyDescent="0.25">
      <c r="A856" s="4">
        <v>987</v>
      </c>
      <c r="B856" s="5" t="s">
        <v>11</v>
      </c>
      <c r="C856" s="6" t="s">
        <v>381</v>
      </c>
      <c r="D856" s="5">
        <f>VLOOKUP(C856,'PESO GRUPO'!A$1:B$9,2,FALSE)</f>
        <v>20</v>
      </c>
      <c r="E856" s="6" t="s">
        <v>479</v>
      </c>
      <c r="F856" s="5">
        <f>VLOOKUP(E856,'PESOS SUBGRUPOS'!B$2:C$193,2,FALSE)</f>
        <v>10</v>
      </c>
      <c r="G856" s="6" t="s">
        <v>396</v>
      </c>
      <c r="H856" s="7" t="s">
        <v>15</v>
      </c>
      <c r="I856" s="5">
        <v>20</v>
      </c>
      <c r="M856" s="5" t="s">
        <v>500</v>
      </c>
    </row>
    <row r="857" spans="1:13" x14ac:dyDescent="0.25">
      <c r="A857" s="4">
        <v>988</v>
      </c>
      <c r="B857" s="5" t="s">
        <v>11</v>
      </c>
      <c r="C857" s="6" t="s">
        <v>381</v>
      </c>
      <c r="D857" s="5">
        <f>VLOOKUP(C857,'PESO GRUPO'!A$1:B$9,2,FALSE)</f>
        <v>20</v>
      </c>
      <c r="E857" s="6" t="s">
        <v>479</v>
      </c>
      <c r="F857" s="5">
        <f>VLOOKUP(E857,'PESOS SUBGRUPOS'!B$2:C$193,2,FALSE)</f>
        <v>10</v>
      </c>
      <c r="G857" s="6" t="s">
        <v>397</v>
      </c>
      <c r="H857" s="7" t="s">
        <v>15</v>
      </c>
      <c r="I857" s="5">
        <v>20</v>
      </c>
      <c r="M857" s="5" t="s">
        <v>500</v>
      </c>
    </row>
    <row r="858" spans="1:13" x14ac:dyDescent="0.25">
      <c r="A858" s="4">
        <v>989</v>
      </c>
      <c r="B858" s="5" t="s">
        <v>11</v>
      </c>
      <c r="C858" s="6" t="s">
        <v>381</v>
      </c>
      <c r="D858" s="5">
        <f>VLOOKUP(C858,'PESO GRUPO'!A$1:B$9,2,FALSE)</f>
        <v>20</v>
      </c>
      <c r="E858" s="6" t="s">
        <v>479</v>
      </c>
      <c r="F858" s="5">
        <f>VLOOKUP(E858,'PESOS SUBGRUPOS'!B$2:C$193,2,FALSE)</f>
        <v>10</v>
      </c>
      <c r="G858" s="6" t="s">
        <v>398</v>
      </c>
      <c r="H858" s="7" t="s">
        <v>15</v>
      </c>
      <c r="I858" s="5">
        <v>10</v>
      </c>
      <c r="M858" s="5" t="s">
        <v>500</v>
      </c>
    </row>
    <row r="859" spans="1:13" x14ac:dyDescent="0.25">
      <c r="A859" s="4">
        <v>990</v>
      </c>
      <c r="B859" s="5" t="s">
        <v>11</v>
      </c>
      <c r="C859" s="6" t="s">
        <v>381</v>
      </c>
      <c r="D859" s="5">
        <f>VLOOKUP(C859,'PESO GRUPO'!A$1:B$9,2,FALSE)</f>
        <v>20</v>
      </c>
      <c r="E859" s="6" t="s">
        <v>479</v>
      </c>
      <c r="F859" s="5">
        <f>VLOOKUP(E859,'PESOS SUBGRUPOS'!B$2:C$193,2,FALSE)</f>
        <v>10</v>
      </c>
      <c r="G859" s="6" t="s">
        <v>399</v>
      </c>
      <c r="H859" s="7" t="s">
        <v>15</v>
      </c>
      <c r="I859" s="5">
        <v>10</v>
      </c>
      <c r="M859" s="5" t="s">
        <v>500</v>
      </c>
    </row>
    <row r="860" spans="1:13" x14ac:dyDescent="0.25">
      <c r="A860" s="4">
        <v>991</v>
      </c>
      <c r="B860" s="5" t="s">
        <v>11</v>
      </c>
      <c r="C860" s="6" t="s">
        <v>381</v>
      </c>
      <c r="D860" s="5">
        <f>VLOOKUP(C860,'PESO GRUPO'!A$1:B$9,2,FALSE)</f>
        <v>20</v>
      </c>
      <c r="E860" s="6" t="s">
        <v>479</v>
      </c>
      <c r="F860" s="5">
        <f>VLOOKUP(E860,'PESOS SUBGRUPOS'!B$2:C$193,2,FALSE)</f>
        <v>10</v>
      </c>
      <c r="G860" s="6" t="s">
        <v>400</v>
      </c>
      <c r="H860" s="7" t="s">
        <v>15</v>
      </c>
      <c r="I860" s="5">
        <v>10</v>
      </c>
      <c r="M860" s="5" t="s">
        <v>500</v>
      </c>
    </row>
    <row r="861" spans="1:13" x14ac:dyDescent="0.25">
      <c r="A861" s="4">
        <v>992</v>
      </c>
      <c r="B861" s="5" t="s">
        <v>11</v>
      </c>
      <c r="C861" s="6" t="s">
        <v>381</v>
      </c>
      <c r="D861" s="5">
        <f>VLOOKUP(C861,'PESO GRUPO'!A$1:B$9,2,FALSE)</f>
        <v>20</v>
      </c>
      <c r="E861" s="6" t="s">
        <v>479</v>
      </c>
      <c r="F861" s="5">
        <f>VLOOKUP(E861,'PESOS SUBGRUPOS'!B$2:C$193,2,FALSE)</f>
        <v>10</v>
      </c>
      <c r="G861" s="6" t="s">
        <v>401</v>
      </c>
      <c r="H861" s="7" t="s">
        <v>15</v>
      </c>
      <c r="I861" s="5">
        <v>10</v>
      </c>
      <c r="M861" s="5" t="s">
        <v>500</v>
      </c>
    </row>
    <row r="862" spans="1:13" x14ac:dyDescent="0.25">
      <c r="A862" s="4">
        <v>993</v>
      </c>
      <c r="B862" s="5" t="s">
        <v>16</v>
      </c>
      <c r="C862" s="6" t="s">
        <v>381</v>
      </c>
      <c r="D862" s="5">
        <f>VLOOKUP(C862,'PESO GRUPO'!A$1:B$9,2,FALSE)</f>
        <v>20</v>
      </c>
      <c r="E862" s="6" t="s">
        <v>480</v>
      </c>
      <c r="F862" s="5">
        <f>VLOOKUP(E862,'PESOS SUBGRUPOS'!B$2:C$193,2,FALSE)</f>
        <v>10</v>
      </c>
      <c r="G862" s="6" t="s">
        <v>383</v>
      </c>
      <c r="H862" s="7" t="s">
        <v>15</v>
      </c>
      <c r="I862" s="5">
        <v>0</v>
      </c>
      <c r="M862" s="5" t="s">
        <v>500</v>
      </c>
    </row>
    <row r="863" spans="1:13" x14ac:dyDescent="0.25">
      <c r="A863" s="4">
        <v>994</v>
      </c>
      <c r="B863" s="5" t="s">
        <v>11</v>
      </c>
      <c r="C863" s="6" t="s">
        <v>381</v>
      </c>
      <c r="D863" s="5">
        <f>VLOOKUP(C863,'PESO GRUPO'!A$1:B$9,2,FALSE)</f>
        <v>20</v>
      </c>
      <c r="E863" s="6" t="s">
        <v>480</v>
      </c>
      <c r="F863" s="5">
        <f>VLOOKUP(E863,'PESOS SUBGRUPOS'!B$2:C$193,2,FALSE)</f>
        <v>10</v>
      </c>
      <c r="G863" s="6" t="s">
        <v>384</v>
      </c>
      <c r="H863" s="7" t="s">
        <v>15</v>
      </c>
      <c r="I863" s="5">
        <v>10</v>
      </c>
      <c r="M863" s="5" t="s">
        <v>500</v>
      </c>
    </row>
    <row r="864" spans="1:13" x14ac:dyDescent="0.25">
      <c r="A864" s="4">
        <v>995</v>
      </c>
      <c r="B864" s="5" t="s">
        <v>11</v>
      </c>
      <c r="C864" s="6" t="s">
        <v>381</v>
      </c>
      <c r="D864" s="5">
        <f>VLOOKUP(C864,'PESO GRUPO'!A$1:B$9,2,FALSE)</f>
        <v>20</v>
      </c>
      <c r="E864" s="6" t="s">
        <v>480</v>
      </c>
      <c r="F864" s="5">
        <f>VLOOKUP(E864,'PESOS SUBGRUPOS'!B$2:C$193,2,FALSE)</f>
        <v>10</v>
      </c>
      <c r="G864" s="6" t="s">
        <v>385</v>
      </c>
      <c r="H864" s="7" t="s">
        <v>15</v>
      </c>
      <c r="I864" s="5">
        <v>20</v>
      </c>
      <c r="M864" s="5" t="s">
        <v>500</v>
      </c>
    </row>
    <row r="865" spans="1:13" x14ac:dyDescent="0.25">
      <c r="A865" s="4">
        <v>996</v>
      </c>
      <c r="B865" s="5" t="s">
        <v>11</v>
      </c>
      <c r="C865" s="6" t="s">
        <v>381</v>
      </c>
      <c r="D865" s="5">
        <f>VLOOKUP(C865,'PESO GRUPO'!A$1:B$9,2,FALSE)</f>
        <v>20</v>
      </c>
      <c r="E865" s="6" t="s">
        <v>480</v>
      </c>
      <c r="F865" s="5">
        <f>VLOOKUP(E865,'PESOS SUBGRUPOS'!B$2:C$193,2,FALSE)</f>
        <v>10</v>
      </c>
      <c r="G865" s="6" t="s">
        <v>386</v>
      </c>
      <c r="H865" s="7" t="s">
        <v>15</v>
      </c>
      <c r="I865" s="5">
        <v>30</v>
      </c>
      <c r="M865" s="5" t="s">
        <v>500</v>
      </c>
    </row>
    <row r="866" spans="1:13" x14ac:dyDescent="0.25">
      <c r="A866" s="4">
        <v>997</v>
      </c>
      <c r="B866" s="5" t="s">
        <v>11</v>
      </c>
      <c r="C866" s="6" t="s">
        <v>381</v>
      </c>
      <c r="D866" s="5">
        <f>VLOOKUP(C866,'PESO GRUPO'!A$1:B$9,2,FALSE)</f>
        <v>20</v>
      </c>
      <c r="E866" s="6" t="s">
        <v>480</v>
      </c>
      <c r="F866" s="5">
        <f>VLOOKUP(E866,'PESOS SUBGRUPOS'!B$2:C$193,2,FALSE)</f>
        <v>10</v>
      </c>
      <c r="G866" s="6" t="s">
        <v>387</v>
      </c>
      <c r="H866" s="7" t="s">
        <v>15</v>
      </c>
      <c r="I866" s="5">
        <v>30</v>
      </c>
      <c r="M866" s="5" t="s">
        <v>500</v>
      </c>
    </row>
    <row r="867" spans="1:13" x14ac:dyDescent="0.25">
      <c r="A867" s="4">
        <v>998</v>
      </c>
      <c r="B867" s="5" t="s">
        <v>11</v>
      </c>
      <c r="C867" s="6" t="s">
        <v>381</v>
      </c>
      <c r="D867" s="5">
        <f>VLOOKUP(C867,'PESO GRUPO'!A$1:B$9,2,FALSE)</f>
        <v>20</v>
      </c>
      <c r="E867" s="6" t="s">
        <v>480</v>
      </c>
      <c r="F867" s="5">
        <f>VLOOKUP(E867,'PESOS SUBGRUPOS'!B$2:C$193,2,FALSE)</f>
        <v>10</v>
      </c>
      <c r="G867" s="6" t="s">
        <v>370</v>
      </c>
      <c r="H867" s="7" t="s">
        <v>15</v>
      </c>
      <c r="I867" s="5">
        <v>20</v>
      </c>
      <c r="M867" s="5" t="s">
        <v>500</v>
      </c>
    </row>
    <row r="868" spans="1:13" x14ac:dyDescent="0.25">
      <c r="A868" s="4">
        <v>999</v>
      </c>
      <c r="B868" s="5" t="s">
        <v>11</v>
      </c>
      <c r="C868" s="6" t="s">
        <v>381</v>
      </c>
      <c r="D868" s="5">
        <f>VLOOKUP(C868,'PESO GRUPO'!A$1:B$9,2,FALSE)</f>
        <v>20</v>
      </c>
      <c r="E868" s="6" t="s">
        <v>480</v>
      </c>
      <c r="F868" s="5">
        <f>VLOOKUP(E868,'PESOS SUBGRUPOS'!B$2:C$193,2,FALSE)</f>
        <v>10</v>
      </c>
      <c r="G868" s="6" t="s">
        <v>388</v>
      </c>
      <c r="H868" s="7" t="s">
        <v>15</v>
      </c>
      <c r="I868" s="5">
        <v>10</v>
      </c>
      <c r="M868" s="5" t="s">
        <v>500</v>
      </c>
    </row>
    <row r="869" spans="1:13" x14ac:dyDescent="0.25">
      <c r="A869" s="4">
        <v>1000</v>
      </c>
      <c r="B869" s="5" t="s">
        <v>11</v>
      </c>
      <c r="C869" s="6" t="s">
        <v>381</v>
      </c>
      <c r="D869" s="5">
        <f>VLOOKUP(C869,'PESO GRUPO'!A$1:B$9,2,FALSE)</f>
        <v>20</v>
      </c>
      <c r="E869" s="6" t="s">
        <v>480</v>
      </c>
      <c r="F869" s="5">
        <f>VLOOKUP(E869,'PESOS SUBGRUPOS'!B$2:C$193,2,FALSE)</f>
        <v>10</v>
      </c>
      <c r="G869" s="6" t="s">
        <v>389</v>
      </c>
      <c r="H869" s="7" t="s">
        <v>15</v>
      </c>
      <c r="I869" s="5">
        <v>10</v>
      </c>
      <c r="M869" s="5" t="s">
        <v>500</v>
      </c>
    </row>
    <row r="870" spans="1:13" x14ac:dyDescent="0.25">
      <c r="A870" s="4">
        <v>1001</v>
      </c>
      <c r="B870" s="5" t="s">
        <v>11</v>
      </c>
      <c r="C870" s="6" t="s">
        <v>381</v>
      </c>
      <c r="D870" s="5">
        <f>VLOOKUP(C870,'PESO GRUPO'!A$1:B$9,2,FALSE)</f>
        <v>20</v>
      </c>
      <c r="E870" s="6" t="s">
        <v>480</v>
      </c>
      <c r="F870" s="5">
        <f>VLOOKUP(E870,'PESOS SUBGRUPOS'!B$2:C$193,2,FALSE)</f>
        <v>10</v>
      </c>
      <c r="G870" s="6" t="s">
        <v>390</v>
      </c>
      <c r="H870" s="7" t="s">
        <v>15</v>
      </c>
      <c r="I870" s="5">
        <v>10</v>
      </c>
      <c r="M870" s="5" t="s">
        <v>500</v>
      </c>
    </row>
    <row r="871" spans="1:13" x14ac:dyDescent="0.25">
      <c r="A871" s="4">
        <v>1002</v>
      </c>
      <c r="B871" s="5" t="s">
        <v>11</v>
      </c>
      <c r="C871" s="6" t="s">
        <v>381</v>
      </c>
      <c r="D871" s="5">
        <f>VLOOKUP(C871,'PESO GRUPO'!A$1:B$9,2,FALSE)</f>
        <v>20</v>
      </c>
      <c r="E871" s="6" t="s">
        <v>480</v>
      </c>
      <c r="F871" s="5">
        <f>VLOOKUP(E871,'PESOS SUBGRUPOS'!B$2:C$193,2,FALSE)</f>
        <v>10</v>
      </c>
      <c r="G871" s="6" t="s">
        <v>471</v>
      </c>
      <c r="H871" s="7" t="s">
        <v>15</v>
      </c>
      <c r="I871" s="5">
        <v>10</v>
      </c>
      <c r="M871" s="5" t="s">
        <v>500</v>
      </c>
    </row>
    <row r="872" spans="1:13" x14ac:dyDescent="0.25">
      <c r="A872" s="4">
        <v>1003</v>
      </c>
      <c r="B872" s="5" t="s">
        <v>11</v>
      </c>
      <c r="C872" s="6" t="s">
        <v>381</v>
      </c>
      <c r="D872" s="5">
        <f>VLOOKUP(C872,'PESO GRUPO'!A$1:B$9,2,FALSE)</f>
        <v>20</v>
      </c>
      <c r="E872" s="6" t="s">
        <v>480</v>
      </c>
      <c r="F872" s="5">
        <f>VLOOKUP(E872,'PESOS SUBGRUPOS'!B$2:C$193,2,FALSE)</f>
        <v>10</v>
      </c>
      <c r="G872" s="6" t="s">
        <v>391</v>
      </c>
      <c r="H872" s="7" t="s">
        <v>15</v>
      </c>
      <c r="I872" s="5">
        <v>10</v>
      </c>
      <c r="M872" s="5" t="s">
        <v>500</v>
      </c>
    </row>
    <row r="873" spans="1:13" x14ac:dyDescent="0.25">
      <c r="A873" s="4">
        <v>1004</v>
      </c>
      <c r="B873" s="5" t="s">
        <v>11</v>
      </c>
      <c r="C873" s="6" t="s">
        <v>381</v>
      </c>
      <c r="D873" s="5">
        <f>VLOOKUP(C873,'PESO GRUPO'!A$1:B$9,2,FALSE)</f>
        <v>20</v>
      </c>
      <c r="E873" s="6" t="s">
        <v>480</v>
      </c>
      <c r="F873" s="5">
        <f>VLOOKUP(E873,'PESOS SUBGRUPOS'!B$2:C$193,2,FALSE)</f>
        <v>10</v>
      </c>
      <c r="G873" s="6" t="s">
        <v>392</v>
      </c>
      <c r="H873" s="7" t="s">
        <v>15</v>
      </c>
      <c r="I873" s="5">
        <v>10</v>
      </c>
      <c r="M873" s="5" t="s">
        <v>500</v>
      </c>
    </row>
    <row r="874" spans="1:13" x14ac:dyDescent="0.25">
      <c r="A874" s="4">
        <v>1005</v>
      </c>
      <c r="B874" s="5" t="s">
        <v>11</v>
      </c>
      <c r="C874" s="6" t="s">
        <v>381</v>
      </c>
      <c r="D874" s="5">
        <f>VLOOKUP(C874,'PESO GRUPO'!A$1:B$9,2,FALSE)</f>
        <v>20</v>
      </c>
      <c r="E874" s="6" t="s">
        <v>480</v>
      </c>
      <c r="F874" s="5">
        <f>VLOOKUP(E874,'PESOS SUBGRUPOS'!B$2:C$193,2,FALSE)</f>
        <v>10</v>
      </c>
      <c r="G874" s="6" t="s">
        <v>337</v>
      </c>
      <c r="H874" s="7" t="s">
        <v>15</v>
      </c>
      <c r="I874" s="5">
        <v>30</v>
      </c>
      <c r="M874" s="5" t="s">
        <v>500</v>
      </c>
    </row>
    <row r="875" spans="1:13" x14ac:dyDescent="0.25">
      <c r="A875" s="4">
        <v>1006</v>
      </c>
      <c r="B875" s="5" t="s">
        <v>11</v>
      </c>
      <c r="C875" s="6" t="s">
        <v>381</v>
      </c>
      <c r="D875" s="5">
        <f>VLOOKUP(C875,'PESO GRUPO'!A$1:B$9,2,FALSE)</f>
        <v>20</v>
      </c>
      <c r="E875" s="6" t="s">
        <v>480</v>
      </c>
      <c r="F875" s="5">
        <f>VLOOKUP(E875,'PESOS SUBGRUPOS'!B$2:C$193,2,FALSE)</f>
        <v>10</v>
      </c>
      <c r="G875" s="6" t="s">
        <v>393</v>
      </c>
      <c r="H875" s="7" t="s">
        <v>15</v>
      </c>
      <c r="I875" s="5">
        <v>10</v>
      </c>
      <c r="M875" s="5" t="s">
        <v>500</v>
      </c>
    </row>
    <row r="876" spans="1:13" x14ac:dyDescent="0.25">
      <c r="A876" s="4">
        <v>1007</v>
      </c>
      <c r="B876" s="5" t="s">
        <v>11</v>
      </c>
      <c r="C876" s="6" t="s">
        <v>381</v>
      </c>
      <c r="D876" s="5">
        <f>VLOOKUP(C876,'PESO GRUPO'!A$1:B$9,2,FALSE)</f>
        <v>20</v>
      </c>
      <c r="E876" s="6" t="s">
        <v>480</v>
      </c>
      <c r="F876" s="5">
        <f>VLOOKUP(E876,'PESOS SUBGRUPOS'!B$2:C$193,2,FALSE)</f>
        <v>10</v>
      </c>
      <c r="G876" s="6" t="s">
        <v>394</v>
      </c>
      <c r="H876" s="7" t="s">
        <v>15</v>
      </c>
      <c r="I876" s="5">
        <v>30</v>
      </c>
      <c r="M876" s="5" t="s">
        <v>500</v>
      </c>
    </row>
    <row r="877" spans="1:13" x14ac:dyDescent="0.25">
      <c r="A877" s="4">
        <v>1008</v>
      </c>
      <c r="B877" s="5" t="s">
        <v>11</v>
      </c>
      <c r="C877" s="6" t="s">
        <v>381</v>
      </c>
      <c r="D877" s="5">
        <f>VLOOKUP(C877,'PESO GRUPO'!A$1:B$9,2,FALSE)</f>
        <v>20</v>
      </c>
      <c r="E877" s="6" t="s">
        <v>480</v>
      </c>
      <c r="F877" s="5">
        <f>VLOOKUP(E877,'PESOS SUBGRUPOS'!B$2:C$193,2,FALSE)</f>
        <v>10</v>
      </c>
      <c r="G877" s="6" t="s">
        <v>395</v>
      </c>
      <c r="H877" s="7" t="s">
        <v>15</v>
      </c>
      <c r="I877" s="5">
        <v>10</v>
      </c>
      <c r="M877" s="5" t="s">
        <v>500</v>
      </c>
    </row>
    <row r="878" spans="1:13" x14ac:dyDescent="0.25">
      <c r="A878" s="4">
        <v>1009</v>
      </c>
      <c r="B878" s="5" t="s">
        <v>11</v>
      </c>
      <c r="C878" s="6" t="s">
        <v>381</v>
      </c>
      <c r="D878" s="5">
        <f>VLOOKUP(C878,'PESO GRUPO'!A$1:B$9,2,FALSE)</f>
        <v>20</v>
      </c>
      <c r="E878" s="6" t="s">
        <v>480</v>
      </c>
      <c r="F878" s="5">
        <f>VLOOKUP(E878,'PESOS SUBGRUPOS'!B$2:C$193,2,FALSE)</f>
        <v>10</v>
      </c>
      <c r="G878" s="6" t="s">
        <v>396</v>
      </c>
      <c r="H878" s="7" t="s">
        <v>15</v>
      </c>
      <c r="I878" s="5">
        <v>20</v>
      </c>
      <c r="M878" s="5" t="s">
        <v>500</v>
      </c>
    </row>
    <row r="879" spans="1:13" x14ac:dyDescent="0.25">
      <c r="A879" s="4">
        <v>1010</v>
      </c>
      <c r="B879" s="5" t="s">
        <v>11</v>
      </c>
      <c r="C879" s="6" t="s">
        <v>381</v>
      </c>
      <c r="D879" s="5">
        <f>VLOOKUP(C879,'PESO GRUPO'!A$1:B$9,2,FALSE)</f>
        <v>20</v>
      </c>
      <c r="E879" s="6" t="s">
        <v>480</v>
      </c>
      <c r="F879" s="5">
        <f>VLOOKUP(E879,'PESOS SUBGRUPOS'!B$2:C$193,2,FALSE)</f>
        <v>10</v>
      </c>
      <c r="G879" s="6" t="s">
        <v>397</v>
      </c>
      <c r="H879" s="7" t="s">
        <v>15</v>
      </c>
      <c r="I879" s="5">
        <v>20</v>
      </c>
      <c r="M879" s="5" t="s">
        <v>500</v>
      </c>
    </row>
    <row r="880" spans="1:13" x14ac:dyDescent="0.25">
      <c r="A880" s="4">
        <v>1011</v>
      </c>
      <c r="B880" s="5" t="s">
        <v>11</v>
      </c>
      <c r="C880" s="6" t="s">
        <v>381</v>
      </c>
      <c r="D880" s="5">
        <f>VLOOKUP(C880,'PESO GRUPO'!A$1:B$9,2,FALSE)</f>
        <v>20</v>
      </c>
      <c r="E880" s="6" t="s">
        <v>480</v>
      </c>
      <c r="F880" s="5">
        <f>VLOOKUP(E880,'PESOS SUBGRUPOS'!B$2:C$193,2,FALSE)</f>
        <v>10</v>
      </c>
      <c r="G880" s="6" t="s">
        <v>398</v>
      </c>
      <c r="H880" s="7" t="s">
        <v>15</v>
      </c>
      <c r="I880" s="5">
        <v>10</v>
      </c>
      <c r="M880" s="5" t="s">
        <v>500</v>
      </c>
    </row>
    <row r="881" spans="1:13" x14ac:dyDescent="0.25">
      <c r="A881" s="4">
        <v>1012</v>
      </c>
      <c r="B881" s="5" t="s">
        <v>11</v>
      </c>
      <c r="C881" s="6" t="s">
        <v>381</v>
      </c>
      <c r="D881" s="5">
        <f>VLOOKUP(C881,'PESO GRUPO'!A$1:B$9,2,FALSE)</f>
        <v>20</v>
      </c>
      <c r="E881" s="6" t="s">
        <v>480</v>
      </c>
      <c r="F881" s="5">
        <f>VLOOKUP(E881,'PESOS SUBGRUPOS'!B$2:C$193,2,FALSE)</f>
        <v>10</v>
      </c>
      <c r="G881" s="6" t="s">
        <v>399</v>
      </c>
      <c r="H881" s="7" t="s">
        <v>15</v>
      </c>
      <c r="I881" s="5">
        <v>10</v>
      </c>
      <c r="M881" s="5" t="s">
        <v>500</v>
      </c>
    </row>
    <row r="882" spans="1:13" x14ac:dyDescent="0.25">
      <c r="A882" s="4">
        <v>1013</v>
      </c>
      <c r="B882" s="5" t="s">
        <v>11</v>
      </c>
      <c r="C882" s="6" t="s">
        <v>381</v>
      </c>
      <c r="D882" s="5">
        <f>VLOOKUP(C882,'PESO GRUPO'!A$1:B$9,2,FALSE)</f>
        <v>20</v>
      </c>
      <c r="E882" s="6" t="s">
        <v>480</v>
      </c>
      <c r="F882" s="5">
        <f>VLOOKUP(E882,'PESOS SUBGRUPOS'!B$2:C$193,2,FALSE)</f>
        <v>10</v>
      </c>
      <c r="G882" s="6" t="s">
        <v>400</v>
      </c>
      <c r="H882" s="7" t="s">
        <v>15</v>
      </c>
      <c r="I882" s="5">
        <v>10</v>
      </c>
      <c r="M882" s="5" t="s">
        <v>500</v>
      </c>
    </row>
    <row r="883" spans="1:13" x14ac:dyDescent="0.25">
      <c r="A883" s="4">
        <v>1014</v>
      </c>
      <c r="B883" s="5" t="s">
        <v>11</v>
      </c>
      <c r="C883" s="6" t="s">
        <v>381</v>
      </c>
      <c r="D883" s="5">
        <f>VLOOKUP(C883,'PESO GRUPO'!A$1:B$9,2,FALSE)</f>
        <v>20</v>
      </c>
      <c r="E883" s="6" t="s">
        <v>480</v>
      </c>
      <c r="F883" s="5">
        <f>VLOOKUP(E883,'PESOS SUBGRUPOS'!B$2:C$193,2,FALSE)</f>
        <v>10</v>
      </c>
      <c r="G883" s="6" t="s">
        <v>401</v>
      </c>
      <c r="H883" s="7" t="s">
        <v>15</v>
      </c>
      <c r="I883" s="5">
        <v>10</v>
      </c>
      <c r="M883" s="5" t="s">
        <v>500</v>
      </c>
    </row>
    <row r="884" spans="1:13" x14ac:dyDescent="0.25">
      <c r="A884" s="4">
        <v>1015</v>
      </c>
      <c r="B884" s="5" t="s">
        <v>16</v>
      </c>
      <c r="C884" s="6" t="s">
        <v>381</v>
      </c>
      <c r="D884" s="5">
        <f>VLOOKUP(C884,'PESO GRUPO'!A$1:B$9,2,FALSE)</f>
        <v>20</v>
      </c>
      <c r="E884" s="6" t="s">
        <v>481</v>
      </c>
      <c r="F884" s="5">
        <f>VLOOKUP(E884,'PESOS SUBGRUPOS'!B$2:C$193,2,FALSE)</f>
        <v>10</v>
      </c>
      <c r="G884" s="6" t="s">
        <v>383</v>
      </c>
      <c r="H884" s="7" t="s">
        <v>15</v>
      </c>
      <c r="I884" s="5">
        <v>0</v>
      </c>
      <c r="M884" s="5" t="s">
        <v>500</v>
      </c>
    </row>
    <row r="885" spans="1:13" x14ac:dyDescent="0.25">
      <c r="A885" s="4">
        <v>1016</v>
      </c>
      <c r="B885" s="5" t="s">
        <v>11</v>
      </c>
      <c r="C885" s="6" t="s">
        <v>381</v>
      </c>
      <c r="D885" s="5">
        <f>VLOOKUP(C885,'PESO GRUPO'!A$1:B$9,2,FALSE)</f>
        <v>20</v>
      </c>
      <c r="E885" s="6" t="s">
        <v>481</v>
      </c>
      <c r="F885" s="5">
        <f>VLOOKUP(E885,'PESOS SUBGRUPOS'!B$2:C$193,2,FALSE)</f>
        <v>10</v>
      </c>
      <c r="G885" s="6" t="s">
        <v>384</v>
      </c>
      <c r="H885" s="7" t="s">
        <v>15</v>
      </c>
      <c r="I885" s="5">
        <v>10</v>
      </c>
      <c r="M885" s="5" t="s">
        <v>500</v>
      </c>
    </row>
    <row r="886" spans="1:13" x14ac:dyDescent="0.25">
      <c r="A886" s="4">
        <v>1017</v>
      </c>
      <c r="B886" s="5" t="s">
        <v>11</v>
      </c>
      <c r="C886" s="6" t="s">
        <v>381</v>
      </c>
      <c r="D886" s="5">
        <f>VLOOKUP(C886,'PESO GRUPO'!A$1:B$9,2,FALSE)</f>
        <v>20</v>
      </c>
      <c r="E886" s="6" t="s">
        <v>481</v>
      </c>
      <c r="F886" s="5">
        <f>VLOOKUP(E886,'PESOS SUBGRUPOS'!B$2:C$193,2,FALSE)</f>
        <v>10</v>
      </c>
      <c r="G886" s="6" t="s">
        <v>385</v>
      </c>
      <c r="H886" s="7" t="s">
        <v>15</v>
      </c>
      <c r="I886" s="5">
        <v>20</v>
      </c>
      <c r="M886" s="5" t="s">
        <v>500</v>
      </c>
    </row>
    <row r="887" spans="1:13" x14ac:dyDescent="0.25">
      <c r="A887" s="4">
        <v>1018</v>
      </c>
      <c r="B887" s="5" t="s">
        <v>11</v>
      </c>
      <c r="C887" s="6" t="s">
        <v>381</v>
      </c>
      <c r="D887" s="5">
        <f>VLOOKUP(C887,'PESO GRUPO'!A$1:B$9,2,FALSE)</f>
        <v>20</v>
      </c>
      <c r="E887" s="6" t="s">
        <v>481</v>
      </c>
      <c r="F887" s="5">
        <f>VLOOKUP(E887,'PESOS SUBGRUPOS'!B$2:C$193,2,FALSE)</f>
        <v>10</v>
      </c>
      <c r="G887" s="6" t="s">
        <v>386</v>
      </c>
      <c r="H887" s="7" t="s">
        <v>15</v>
      </c>
      <c r="I887" s="5">
        <v>30</v>
      </c>
      <c r="M887" s="5" t="s">
        <v>500</v>
      </c>
    </row>
    <row r="888" spans="1:13" x14ac:dyDescent="0.25">
      <c r="A888" s="4">
        <v>1019</v>
      </c>
      <c r="B888" s="5" t="s">
        <v>11</v>
      </c>
      <c r="C888" s="6" t="s">
        <v>381</v>
      </c>
      <c r="D888" s="5">
        <f>VLOOKUP(C888,'PESO GRUPO'!A$1:B$9,2,FALSE)</f>
        <v>20</v>
      </c>
      <c r="E888" s="6" t="s">
        <v>481</v>
      </c>
      <c r="F888" s="5">
        <f>VLOOKUP(E888,'PESOS SUBGRUPOS'!B$2:C$193,2,FALSE)</f>
        <v>10</v>
      </c>
      <c r="G888" s="6" t="s">
        <v>387</v>
      </c>
      <c r="H888" s="7" t="s">
        <v>15</v>
      </c>
      <c r="I888" s="5">
        <v>30</v>
      </c>
      <c r="M888" s="5" t="s">
        <v>500</v>
      </c>
    </row>
    <row r="889" spans="1:13" x14ac:dyDescent="0.25">
      <c r="A889" s="4">
        <v>1020</v>
      </c>
      <c r="B889" s="5" t="s">
        <v>11</v>
      </c>
      <c r="C889" s="6" t="s">
        <v>381</v>
      </c>
      <c r="D889" s="5">
        <f>VLOOKUP(C889,'PESO GRUPO'!A$1:B$9,2,FALSE)</f>
        <v>20</v>
      </c>
      <c r="E889" s="6" t="s">
        <v>481</v>
      </c>
      <c r="F889" s="5">
        <f>VLOOKUP(E889,'PESOS SUBGRUPOS'!B$2:C$193,2,FALSE)</f>
        <v>10</v>
      </c>
      <c r="G889" s="6" t="s">
        <v>370</v>
      </c>
      <c r="H889" s="7" t="s">
        <v>15</v>
      </c>
      <c r="I889" s="5">
        <v>20</v>
      </c>
      <c r="M889" s="5" t="s">
        <v>500</v>
      </c>
    </row>
    <row r="890" spans="1:13" x14ac:dyDescent="0.25">
      <c r="A890" s="4">
        <v>1021</v>
      </c>
      <c r="B890" s="5" t="s">
        <v>11</v>
      </c>
      <c r="C890" s="6" t="s">
        <v>381</v>
      </c>
      <c r="D890" s="5">
        <f>VLOOKUP(C890,'PESO GRUPO'!A$1:B$9,2,FALSE)</f>
        <v>20</v>
      </c>
      <c r="E890" s="6" t="s">
        <v>481</v>
      </c>
      <c r="F890" s="5">
        <f>VLOOKUP(E890,'PESOS SUBGRUPOS'!B$2:C$193,2,FALSE)</f>
        <v>10</v>
      </c>
      <c r="G890" s="6" t="s">
        <v>388</v>
      </c>
      <c r="H890" s="7" t="s">
        <v>15</v>
      </c>
      <c r="I890" s="5">
        <v>10</v>
      </c>
      <c r="M890" s="5" t="s">
        <v>500</v>
      </c>
    </row>
    <row r="891" spans="1:13" x14ac:dyDescent="0.25">
      <c r="A891" s="4">
        <v>1022</v>
      </c>
      <c r="B891" s="5" t="s">
        <v>11</v>
      </c>
      <c r="C891" s="6" t="s">
        <v>381</v>
      </c>
      <c r="D891" s="5">
        <f>VLOOKUP(C891,'PESO GRUPO'!A$1:B$9,2,FALSE)</f>
        <v>20</v>
      </c>
      <c r="E891" s="6" t="s">
        <v>481</v>
      </c>
      <c r="F891" s="5">
        <f>VLOOKUP(E891,'PESOS SUBGRUPOS'!B$2:C$193,2,FALSE)</f>
        <v>10</v>
      </c>
      <c r="G891" s="6" t="s">
        <v>389</v>
      </c>
      <c r="H891" s="7" t="s">
        <v>15</v>
      </c>
      <c r="I891" s="5">
        <v>10</v>
      </c>
      <c r="M891" s="5" t="s">
        <v>500</v>
      </c>
    </row>
    <row r="892" spans="1:13" x14ac:dyDescent="0.25">
      <c r="A892" s="4">
        <v>1023</v>
      </c>
      <c r="B892" s="5" t="s">
        <v>11</v>
      </c>
      <c r="C892" s="6" t="s">
        <v>381</v>
      </c>
      <c r="D892" s="5">
        <f>VLOOKUP(C892,'PESO GRUPO'!A$1:B$9,2,FALSE)</f>
        <v>20</v>
      </c>
      <c r="E892" s="6" t="s">
        <v>481</v>
      </c>
      <c r="F892" s="5">
        <f>VLOOKUP(E892,'PESOS SUBGRUPOS'!B$2:C$193,2,FALSE)</f>
        <v>10</v>
      </c>
      <c r="G892" s="6" t="s">
        <v>390</v>
      </c>
      <c r="H892" s="7" t="s">
        <v>15</v>
      </c>
      <c r="I892" s="5">
        <v>10</v>
      </c>
      <c r="M892" s="5" t="s">
        <v>500</v>
      </c>
    </row>
    <row r="893" spans="1:13" x14ac:dyDescent="0.25">
      <c r="A893" s="4">
        <v>1024</v>
      </c>
      <c r="B893" s="5" t="s">
        <v>11</v>
      </c>
      <c r="C893" s="6" t="s">
        <v>381</v>
      </c>
      <c r="D893" s="5">
        <f>VLOOKUP(C893,'PESO GRUPO'!A$1:B$9,2,FALSE)</f>
        <v>20</v>
      </c>
      <c r="E893" s="6" t="s">
        <v>481</v>
      </c>
      <c r="F893" s="5">
        <f>VLOOKUP(E893,'PESOS SUBGRUPOS'!B$2:C$193,2,FALSE)</f>
        <v>10</v>
      </c>
      <c r="G893" s="6" t="s">
        <v>471</v>
      </c>
      <c r="H893" s="7" t="s">
        <v>15</v>
      </c>
      <c r="I893" s="5">
        <v>10</v>
      </c>
      <c r="M893" s="5" t="s">
        <v>500</v>
      </c>
    </row>
    <row r="894" spans="1:13" x14ac:dyDescent="0.25">
      <c r="A894" s="4">
        <v>1025</v>
      </c>
      <c r="B894" s="5" t="s">
        <v>11</v>
      </c>
      <c r="C894" s="6" t="s">
        <v>381</v>
      </c>
      <c r="D894" s="5">
        <f>VLOOKUP(C894,'PESO GRUPO'!A$1:B$9,2,FALSE)</f>
        <v>20</v>
      </c>
      <c r="E894" s="6" t="s">
        <v>481</v>
      </c>
      <c r="F894" s="5">
        <f>VLOOKUP(E894,'PESOS SUBGRUPOS'!B$2:C$193,2,FALSE)</f>
        <v>10</v>
      </c>
      <c r="G894" s="6" t="s">
        <v>391</v>
      </c>
      <c r="H894" s="7" t="s">
        <v>15</v>
      </c>
      <c r="I894" s="5">
        <v>10</v>
      </c>
      <c r="M894" s="5" t="s">
        <v>500</v>
      </c>
    </row>
    <row r="895" spans="1:13" x14ac:dyDescent="0.25">
      <c r="A895" s="4">
        <v>1026</v>
      </c>
      <c r="B895" s="5" t="s">
        <v>11</v>
      </c>
      <c r="C895" s="6" t="s">
        <v>381</v>
      </c>
      <c r="D895" s="5">
        <f>VLOOKUP(C895,'PESO GRUPO'!A$1:B$9,2,FALSE)</f>
        <v>20</v>
      </c>
      <c r="E895" s="6" t="s">
        <v>481</v>
      </c>
      <c r="F895" s="5">
        <f>VLOOKUP(E895,'PESOS SUBGRUPOS'!B$2:C$193,2,FALSE)</f>
        <v>10</v>
      </c>
      <c r="G895" s="6" t="s">
        <v>392</v>
      </c>
      <c r="H895" s="7" t="s">
        <v>15</v>
      </c>
      <c r="I895" s="5">
        <v>10</v>
      </c>
      <c r="M895" s="5" t="s">
        <v>500</v>
      </c>
    </row>
    <row r="896" spans="1:13" x14ac:dyDescent="0.25">
      <c r="A896" s="4">
        <v>1027</v>
      </c>
      <c r="B896" s="5" t="s">
        <v>11</v>
      </c>
      <c r="C896" s="6" t="s">
        <v>381</v>
      </c>
      <c r="D896" s="5">
        <f>VLOOKUP(C896,'PESO GRUPO'!A$1:B$9,2,FALSE)</f>
        <v>20</v>
      </c>
      <c r="E896" s="6" t="s">
        <v>481</v>
      </c>
      <c r="F896" s="5">
        <f>VLOOKUP(E896,'PESOS SUBGRUPOS'!B$2:C$193,2,FALSE)</f>
        <v>10</v>
      </c>
      <c r="G896" s="6" t="s">
        <v>337</v>
      </c>
      <c r="H896" s="7" t="s">
        <v>15</v>
      </c>
      <c r="I896" s="5">
        <v>30</v>
      </c>
      <c r="M896" s="5" t="s">
        <v>500</v>
      </c>
    </row>
    <row r="897" spans="1:13" x14ac:dyDescent="0.25">
      <c r="A897" s="4">
        <v>1028</v>
      </c>
      <c r="B897" s="5" t="s">
        <v>11</v>
      </c>
      <c r="C897" s="6" t="s">
        <v>381</v>
      </c>
      <c r="D897" s="5">
        <f>VLOOKUP(C897,'PESO GRUPO'!A$1:B$9,2,FALSE)</f>
        <v>20</v>
      </c>
      <c r="E897" s="6" t="s">
        <v>481</v>
      </c>
      <c r="F897" s="5">
        <f>VLOOKUP(E897,'PESOS SUBGRUPOS'!B$2:C$193,2,FALSE)</f>
        <v>10</v>
      </c>
      <c r="G897" s="6" t="s">
        <v>393</v>
      </c>
      <c r="H897" s="7" t="s">
        <v>15</v>
      </c>
      <c r="I897" s="5">
        <v>10</v>
      </c>
      <c r="M897" s="5" t="s">
        <v>500</v>
      </c>
    </row>
    <row r="898" spans="1:13" x14ac:dyDescent="0.25">
      <c r="A898" s="4">
        <v>1029</v>
      </c>
      <c r="B898" s="5" t="s">
        <v>11</v>
      </c>
      <c r="C898" s="6" t="s">
        <v>381</v>
      </c>
      <c r="D898" s="5">
        <f>VLOOKUP(C898,'PESO GRUPO'!A$1:B$9,2,FALSE)</f>
        <v>20</v>
      </c>
      <c r="E898" s="6" t="s">
        <v>481</v>
      </c>
      <c r="F898" s="5">
        <f>VLOOKUP(E898,'PESOS SUBGRUPOS'!B$2:C$193,2,FALSE)</f>
        <v>10</v>
      </c>
      <c r="G898" s="6" t="s">
        <v>394</v>
      </c>
      <c r="H898" s="7" t="s">
        <v>15</v>
      </c>
      <c r="I898" s="5">
        <v>30</v>
      </c>
      <c r="M898" s="5" t="s">
        <v>500</v>
      </c>
    </row>
    <row r="899" spans="1:13" x14ac:dyDescent="0.25">
      <c r="A899" s="4">
        <v>1030</v>
      </c>
      <c r="B899" s="5" t="s">
        <v>11</v>
      </c>
      <c r="C899" s="6" t="s">
        <v>381</v>
      </c>
      <c r="D899" s="5">
        <f>VLOOKUP(C899,'PESO GRUPO'!A$1:B$9,2,FALSE)</f>
        <v>20</v>
      </c>
      <c r="E899" s="6" t="s">
        <v>481</v>
      </c>
      <c r="F899" s="5">
        <f>VLOOKUP(E899,'PESOS SUBGRUPOS'!B$2:C$193,2,FALSE)</f>
        <v>10</v>
      </c>
      <c r="G899" s="6" t="s">
        <v>395</v>
      </c>
      <c r="H899" s="7" t="s">
        <v>15</v>
      </c>
      <c r="I899" s="5">
        <v>10</v>
      </c>
      <c r="M899" s="5" t="s">
        <v>500</v>
      </c>
    </row>
    <row r="900" spans="1:13" x14ac:dyDescent="0.25">
      <c r="A900" s="4">
        <v>1031</v>
      </c>
      <c r="B900" s="5" t="s">
        <v>11</v>
      </c>
      <c r="C900" s="6" t="s">
        <v>381</v>
      </c>
      <c r="D900" s="5">
        <f>VLOOKUP(C900,'PESO GRUPO'!A$1:B$9,2,FALSE)</f>
        <v>20</v>
      </c>
      <c r="E900" s="6" t="s">
        <v>481</v>
      </c>
      <c r="F900" s="5">
        <f>VLOOKUP(E900,'PESOS SUBGRUPOS'!B$2:C$193,2,FALSE)</f>
        <v>10</v>
      </c>
      <c r="G900" s="6" t="s">
        <v>396</v>
      </c>
      <c r="H900" s="7" t="s">
        <v>15</v>
      </c>
      <c r="I900" s="5">
        <v>20</v>
      </c>
      <c r="M900" s="5" t="s">
        <v>500</v>
      </c>
    </row>
    <row r="901" spans="1:13" x14ac:dyDescent="0.25">
      <c r="A901" s="4">
        <v>1032</v>
      </c>
      <c r="B901" s="5" t="s">
        <v>11</v>
      </c>
      <c r="C901" s="6" t="s">
        <v>381</v>
      </c>
      <c r="D901" s="5">
        <f>VLOOKUP(C901,'PESO GRUPO'!A$1:B$9,2,FALSE)</f>
        <v>20</v>
      </c>
      <c r="E901" s="6" t="s">
        <v>481</v>
      </c>
      <c r="F901" s="5">
        <f>VLOOKUP(E901,'PESOS SUBGRUPOS'!B$2:C$193,2,FALSE)</f>
        <v>10</v>
      </c>
      <c r="G901" s="6" t="s">
        <v>397</v>
      </c>
      <c r="H901" s="7" t="s">
        <v>15</v>
      </c>
      <c r="I901" s="5">
        <v>20</v>
      </c>
      <c r="M901" s="5" t="s">
        <v>500</v>
      </c>
    </row>
    <row r="902" spans="1:13" x14ac:dyDescent="0.25">
      <c r="A902" s="4">
        <v>1033</v>
      </c>
      <c r="B902" s="5" t="s">
        <v>11</v>
      </c>
      <c r="C902" s="6" t="s">
        <v>381</v>
      </c>
      <c r="D902" s="5">
        <f>VLOOKUP(C902,'PESO GRUPO'!A$1:B$9,2,FALSE)</f>
        <v>20</v>
      </c>
      <c r="E902" s="6" t="s">
        <v>481</v>
      </c>
      <c r="F902" s="5">
        <f>VLOOKUP(E902,'PESOS SUBGRUPOS'!B$2:C$193,2,FALSE)</f>
        <v>10</v>
      </c>
      <c r="G902" s="6" t="s">
        <v>398</v>
      </c>
      <c r="H902" s="7" t="s">
        <v>15</v>
      </c>
      <c r="I902" s="5">
        <v>10</v>
      </c>
      <c r="M902" s="5" t="s">
        <v>500</v>
      </c>
    </row>
    <row r="903" spans="1:13" x14ac:dyDescent="0.25">
      <c r="A903" s="4">
        <v>1034</v>
      </c>
      <c r="B903" s="5" t="s">
        <v>11</v>
      </c>
      <c r="C903" s="6" t="s">
        <v>381</v>
      </c>
      <c r="D903" s="5">
        <f>VLOOKUP(C903,'PESO GRUPO'!A$1:B$9,2,FALSE)</f>
        <v>20</v>
      </c>
      <c r="E903" s="6" t="s">
        <v>481</v>
      </c>
      <c r="F903" s="5">
        <f>VLOOKUP(E903,'PESOS SUBGRUPOS'!B$2:C$193,2,FALSE)</f>
        <v>10</v>
      </c>
      <c r="G903" s="6" t="s">
        <v>399</v>
      </c>
      <c r="H903" s="7" t="s">
        <v>15</v>
      </c>
      <c r="I903" s="5">
        <v>10</v>
      </c>
      <c r="M903" s="5" t="s">
        <v>500</v>
      </c>
    </row>
    <row r="904" spans="1:13" x14ac:dyDescent="0.25">
      <c r="A904" s="4">
        <v>1035</v>
      </c>
      <c r="B904" s="5" t="s">
        <v>11</v>
      </c>
      <c r="C904" s="6" t="s">
        <v>381</v>
      </c>
      <c r="D904" s="5">
        <f>VLOOKUP(C904,'PESO GRUPO'!A$1:B$9,2,FALSE)</f>
        <v>20</v>
      </c>
      <c r="E904" s="6" t="s">
        <v>481</v>
      </c>
      <c r="F904" s="5">
        <f>VLOOKUP(E904,'PESOS SUBGRUPOS'!B$2:C$193,2,FALSE)</f>
        <v>10</v>
      </c>
      <c r="G904" s="6" t="s">
        <v>400</v>
      </c>
      <c r="H904" s="7" t="s">
        <v>15</v>
      </c>
      <c r="I904" s="5">
        <v>10</v>
      </c>
      <c r="M904" s="5" t="s">
        <v>500</v>
      </c>
    </row>
    <row r="905" spans="1:13" x14ac:dyDescent="0.25">
      <c r="A905" s="4">
        <v>1036</v>
      </c>
      <c r="B905" s="5" t="s">
        <v>11</v>
      </c>
      <c r="C905" s="6" t="s">
        <v>381</v>
      </c>
      <c r="D905" s="5">
        <f>VLOOKUP(C905,'PESO GRUPO'!A$1:B$9,2,FALSE)</f>
        <v>20</v>
      </c>
      <c r="E905" s="6" t="s">
        <v>481</v>
      </c>
      <c r="F905" s="5">
        <f>VLOOKUP(E905,'PESOS SUBGRUPOS'!B$2:C$193,2,FALSE)</f>
        <v>10</v>
      </c>
      <c r="G905" s="6" t="s">
        <v>401</v>
      </c>
      <c r="H905" s="7" t="s">
        <v>15</v>
      </c>
      <c r="I905" s="5">
        <v>10</v>
      </c>
      <c r="M905" s="5" t="s">
        <v>500</v>
      </c>
    </row>
    <row r="908" spans="1:13" x14ac:dyDescent="0.25">
      <c r="B908" s="15" t="s">
        <v>482</v>
      </c>
    </row>
  </sheetData>
  <autoFilter ref="A1:M905" xr:uid="{35C19796-B4A1-4DDF-A550-5410E59606E2}"/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203" verticalDpi="203" r:id="rId1"/>
  <ignoredErrors>
    <ignoredError sqref="D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4603-BF4E-4912-AE87-2AE813816C9F}">
  <dimension ref="A1:C953"/>
  <sheetViews>
    <sheetView topLeftCell="A59" workbookViewId="0">
      <selection activeCell="I81" sqref="I81"/>
    </sheetView>
  </sheetViews>
  <sheetFormatPr defaultRowHeight="15" x14ac:dyDescent="0.25"/>
  <cols>
    <col min="1" max="1" width="26.5703125" style="6" customWidth="1"/>
    <col min="2" max="2" width="73.42578125" style="6" customWidth="1"/>
    <col min="3" max="3" width="15.140625" style="16" bestFit="1" customWidth="1"/>
    <col min="4" max="4" width="20.28515625" customWidth="1"/>
  </cols>
  <sheetData>
    <row r="1" spans="1:3" x14ac:dyDescent="0.25">
      <c r="A1" s="3" t="s">
        <v>2</v>
      </c>
      <c r="B1" s="3" t="s">
        <v>3</v>
      </c>
      <c r="C1" s="2" t="s">
        <v>483</v>
      </c>
    </row>
    <row r="2" spans="1:3" x14ac:dyDescent="0.25">
      <c r="A2" s="10" t="s">
        <v>12</v>
      </c>
      <c r="B2" s="10" t="s">
        <v>13</v>
      </c>
      <c r="C2" s="17">
        <v>100</v>
      </c>
    </row>
    <row r="3" spans="1:3" x14ac:dyDescent="0.25">
      <c r="A3" s="10" t="s">
        <v>12</v>
      </c>
      <c r="B3" s="10" t="s">
        <v>21</v>
      </c>
      <c r="C3" s="17">
        <v>100</v>
      </c>
    </row>
    <row r="4" spans="1:3" x14ac:dyDescent="0.25">
      <c r="A4" s="10" t="s">
        <v>12</v>
      </c>
      <c r="B4" s="10" t="s">
        <v>22</v>
      </c>
      <c r="C4" s="17">
        <v>100</v>
      </c>
    </row>
    <row r="5" spans="1:3" x14ac:dyDescent="0.25">
      <c r="A5" s="10" t="s">
        <v>12</v>
      </c>
      <c r="B5" s="10" t="s">
        <v>23</v>
      </c>
      <c r="C5" s="17">
        <v>100</v>
      </c>
    </row>
    <row r="6" spans="1:3" x14ac:dyDescent="0.25">
      <c r="A6" s="10" t="s">
        <v>12</v>
      </c>
      <c r="B6" s="10" t="s">
        <v>24</v>
      </c>
      <c r="C6" s="17">
        <v>100</v>
      </c>
    </row>
    <row r="7" spans="1:3" x14ac:dyDescent="0.25">
      <c r="A7" s="10" t="s">
        <v>12</v>
      </c>
      <c r="B7" s="10" t="s">
        <v>98</v>
      </c>
      <c r="C7" s="17">
        <v>100</v>
      </c>
    </row>
    <row r="8" spans="1:3" x14ac:dyDescent="0.25">
      <c r="A8" s="10" t="s">
        <v>12</v>
      </c>
      <c r="B8" s="10" t="s">
        <v>25</v>
      </c>
      <c r="C8" s="17">
        <v>60</v>
      </c>
    </row>
    <row r="9" spans="1:3" x14ac:dyDescent="0.25">
      <c r="A9" s="10" t="s">
        <v>12</v>
      </c>
      <c r="B9" s="10" t="s">
        <v>28</v>
      </c>
      <c r="C9" s="17">
        <v>60</v>
      </c>
    </row>
    <row r="10" spans="1:3" x14ac:dyDescent="0.25">
      <c r="A10" s="10" t="s">
        <v>12</v>
      </c>
      <c r="B10" s="10" t="s">
        <v>30</v>
      </c>
      <c r="C10" s="17">
        <v>100</v>
      </c>
    </row>
    <row r="11" spans="1:3" x14ac:dyDescent="0.25">
      <c r="A11" s="10" t="s">
        <v>12</v>
      </c>
      <c r="B11" s="10" t="s">
        <v>33</v>
      </c>
      <c r="C11" s="17">
        <v>60</v>
      </c>
    </row>
    <row r="12" spans="1:3" x14ac:dyDescent="0.25">
      <c r="A12" s="10" t="s">
        <v>12</v>
      </c>
      <c r="B12" s="10" t="s">
        <v>35</v>
      </c>
      <c r="C12" s="17">
        <v>80</v>
      </c>
    </row>
    <row r="13" spans="1:3" x14ac:dyDescent="0.25">
      <c r="A13" s="10" t="s">
        <v>12</v>
      </c>
      <c r="B13" s="10" t="s">
        <v>93</v>
      </c>
      <c r="C13" s="17">
        <v>60</v>
      </c>
    </row>
    <row r="14" spans="1:3" x14ac:dyDescent="0.25">
      <c r="A14" s="10" t="s">
        <v>12</v>
      </c>
      <c r="B14" s="10" t="s">
        <v>147</v>
      </c>
      <c r="C14" s="17">
        <v>60</v>
      </c>
    </row>
    <row r="15" spans="1:3" x14ac:dyDescent="0.25">
      <c r="A15" s="10" t="s">
        <v>12</v>
      </c>
      <c r="B15" s="10" t="s">
        <v>149</v>
      </c>
      <c r="C15" s="17">
        <v>80</v>
      </c>
    </row>
    <row r="16" spans="1:3" x14ac:dyDescent="0.25">
      <c r="A16" s="10" t="s">
        <v>12</v>
      </c>
      <c r="B16" s="10" t="s">
        <v>39</v>
      </c>
      <c r="C16" s="17">
        <v>60</v>
      </c>
    </row>
    <row r="17" spans="1:3" x14ac:dyDescent="0.25">
      <c r="A17" s="10" t="s">
        <v>12</v>
      </c>
      <c r="B17" s="10" t="s">
        <v>40</v>
      </c>
      <c r="C17" s="17">
        <v>60</v>
      </c>
    </row>
    <row r="18" spans="1:3" x14ac:dyDescent="0.25">
      <c r="A18" s="10" t="s">
        <v>12</v>
      </c>
      <c r="B18" s="10" t="s">
        <v>46</v>
      </c>
      <c r="C18" s="17">
        <v>40</v>
      </c>
    </row>
    <row r="19" spans="1:3" x14ac:dyDescent="0.25">
      <c r="A19" s="10" t="s">
        <v>12</v>
      </c>
      <c r="B19" s="10" t="s">
        <v>42</v>
      </c>
      <c r="C19" s="17">
        <v>40</v>
      </c>
    </row>
    <row r="20" spans="1:3" x14ac:dyDescent="0.25">
      <c r="A20" s="10" t="s">
        <v>12</v>
      </c>
      <c r="B20" s="10" t="s">
        <v>48</v>
      </c>
      <c r="C20" s="17">
        <v>80</v>
      </c>
    </row>
    <row r="21" spans="1:3" x14ac:dyDescent="0.25">
      <c r="A21" s="10" t="s">
        <v>12</v>
      </c>
      <c r="B21" s="10" t="s">
        <v>49</v>
      </c>
      <c r="C21" s="17">
        <v>60</v>
      </c>
    </row>
    <row r="22" spans="1:3" x14ac:dyDescent="0.25">
      <c r="A22" s="10" t="s">
        <v>12</v>
      </c>
      <c r="B22" s="10" t="s">
        <v>50</v>
      </c>
      <c r="C22" s="17">
        <v>60</v>
      </c>
    </row>
    <row r="23" spans="1:3" x14ac:dyDescent="0.25">
      <c r="A23" s="10" t="s">
        <v>12</v>
      </c>
      <c r="B23" s="10" t="s">
        <v>54</v>
      </c>
      <c r="C23" s="17">
        <v>60</v>
      </c>
    </row>
    <row r="24" spans="1:3" x14ac:dyDescent="0.25">
      <c r="A24" s="10" t="s">
        <v>12</v>
      </c>
      <c r="B24" s="10" t="s">
        <v>58</v>
      </c>
      <c r="C24" s="17">
        <v>80</v>
      </c>
    </row>
    <row r="25" spans="1:3" x14ac:dyDescent="0.25">
      <c r="A25" s="10" t="s">
        <v>12</v>
      </c>
      <c r="B25" s="10" t="s">
        <v>59</v>
      </c>
      <c r="C25" s="17">
        <v>100</v>
      </c>
    </row>
    <row r="26" spans="1:3" x14ac:dyDescent="0.25">
      <c r="A26" s="10" t="s">
        <v>12</v>
      </c>
      <c r="B26" s="10" t="s">
        <v>60</v>
      </c>
      <c r="C26" s="17">
        <v>80</v>
      </c>
    </row>
    <row r="27" spans="1:3" x14ac:dyDescent="0.25">
      <c r="A27" s="10" t="s">
        <v>12</v>
      </c>
      <c r="B27" s="10" t="s">
        <v>152</v>
      </c>
      <c r="C27" s="17">
        <v>80</v>
      </c>
    </row>
    <row r="28" spans="1:3" x14ac:dyDescent="0.25">
      <c r="A28" s="10" t="s">
        <v>12</v>
      </c>
      <c r="B28" s="10" t="s">
        <v>63</v>
      </c>
      <c r="C28" s="17">
        <v>20</v>
      </c>
    </row>
    <row r="29" spans="1:3" x14ac:dyDescent="0.25">
      <c r="A29" s="10" t="s">
        <v>12</v>
      </c>
      <c r="B29" s="10" t="s">
        <v>65</v>
      </c>
      <c r="C29" s="17">
        <v>80</v>
      </c>
    </row>
    <row r="30" spans="1:3" x14ac:dyDescent="0.25">
      <c r="A30" s="10" t="s">
        <v>12</v>
      </c>
      <c r="B30" s="10" t="s">
        <v>68</v>
      </c>
      <c r="C30" s="17">
        <v>80</v>
      </c>
    </row>
    <row r="31" spans="1:3" x14ac:dyDescent="0.25">
      <c r="A31" s="10" t="s">
        <v>12</v>
      </c>
      <c r="B31" s="10" t="s">
        <v>72</v>
      </c>
      <c r="C31" s="17">
        <v>40</v>
      </c>
    </row>
    <row r="32" spans="1:3" x14ac:dyDescent="0.25">
      <c r="A32" s="10" t="s">
        <v>12</v>
      </c>
      <c r="B32" s="10" t="s">
        <v>76</v>
      </c>
      <c r="C32" s="17">
        <v>40</v>
      </c>
    </row>
    <row r="33" spans="1:3" x14ac:dyDescent="0.25">
      <c r="A33" s="10" t="s">
        <v>12</v>
      </c>
      <c r="B33" s="10" t="s">
        <v>436</v>
      </c>
      <c r="C33" s="17">
        <v>40</v>
      </c>
    </row>
    <row r="34" spans="1:3" x14ac:dyDescent="0.25">
      <c r="A34" s="10" t="s">
        <v>12</v>
      </c>
      <c r="B34" s="10" t="s">
        <v>445</v>
      </c>
      <c r="C34" s="17">
        <v>20</v>
      </c>
    </row>
    <row r="35" spans="1:3" x14ac:dyDescent="0.25">
      <c r="A35" s="10" t="s">
        <v>12</v>
      </c>
      <c r="B35" s="10" t="s">
        <v>447</v>
      </c>
      <c r="C35" s="17">
        <v>40</v>
      </c>
    </row>
    <row r="36" spans="1:3" x14ac:dyDescent="0.25">
      <c r="A36" s="10" t="s">
        <v>41</v>
      </c>
      <c r="B36" s="10" t="s">
        <v>79</v>
      </c>
      <c r="C36" s="17">
        <v>100</v>
      </c>
    </row>
    <row r="37" spans="1:3" x14ac:dyDescent="0.25">
      <c r="A37" s="10" t="s">
        <v>41</v>
      </c>
      <c r="B37" s="10" t="s">
        <v>21</v>
      </c>
      <c r="C37" s="17">
        <v>100</v>
      </c>
    </row>
    <row r="38" spans="1:3" x14ac:dyDescent="0.25">
      <c r="A38" s="10" t="s">
        <v>41</v>
      </c>
      <c r="B38" s="10" t="s">
        <v>86</v>
      </c>
      <c r="C38" s="17">
        <v>100</v>
      </c>
    </row>
    <row r="39" spans="1:3" x14ac:dyDescent="0.25">
      <c r="A39" s="10" t="s">
        <v>41</v>
      </c>
      <c r="B39" s="10" t="s">
        <v>24</v>
      </c>
      <c r="C39" s="17">
        <v>100</v>
      </c>
    </row>
    <row r="40" spans="1:3" x14ac:dyDescent="0.25">
      <c r="A40" s="10" t="s">
        <v>41</v>
      </c>
      <c r="B40" s="10" t="s">
        <v>99</v>
      </c>
      <c r="C40" s="17">
        <v>40</v>
      </c>
    </row>
    <row r="41" spans="1:3" x14ac:dyDescent="0.25">
      <c r="A41" s="10" t="s">
        <v>41</v>
      </c>
      <c r="B41" s="10" t="s">
        <v>40</v>
      </c>
      <c r="C41" s="17">
        <v>60</v>
      </c>
    </row>
    <row r="42" spans="1:3" x14ac:dyDescent="0.25">
      <c r="A42" s="10" t="s">
        <v>41</v>
      </c>
      <c r="B42" s="10" t="s">
        <v>108</v>
      </c>
      <c r="C42" s="17">
        <v>80</v>
      </c>
    </row>
    <row r="43" spans="1:3" x14ac:dyDescent="0.25">
      <c r="A43" s="10" t="s">
        <v>41</v>
      </c>
      <c r="B43" s="10" t="s">
        <v>118</v>
      </c>
      <c r="C43" s="17">
        <v>40</v>
      </c>
    </row>
    <row r="44" spans="1:3" x14ac:dyDescent="0.25">
      <c r="A44" s="10" t="s">
        <v>41</v>
      </c>
      <c r="B44" s="10" t="s">
        <v>46</v>
      </c>
      <c r="C44" s="17">
        <v>40</v>
      </c>
    </row>
    <row r="45" spans="1:3" x14ac:dyDescent="0.25">
      <c r="A45" s="10" t="s">
        <v>41</v>
      </c>
      <c r="B45" s="10" t="s">
        <v>132</v>
      </c>
      <c r="C45" s="17">
        <v>40</v>
      </c>
    </row>
    <row r="46" spans="1:3" x14ac:dyDescent="0.25">
      <c r="A46" s="10" t="s">
        <v>41</v>
      </c>
      <c r="B46" s="10" t="s">
        <v>141</v>
      </c>
      <c r="C46" s="17">
        <v>40</v>
      </c>
    </row>
    <row r="47" spans="1:3" x14ac:dyDescent="0.25">
      <c r="A47" s="10" t="s">
        <v>41</v>
      </c>
      <c r="B47" s="10" t="s">
        <v>129</v>
      </c>
      <c r="C47" s="17">
        <v>20</v>
      </c>
    </row>
    <row r="48" spans="1:3" x14ac:dyDescent="0.25">
      <c r="A48" s="10" t="s">
        <v>41</v>
      </c>
      <c r="B48" s="10" t="s">
        <v>65</v>
      </c>
      <c r="C48" s="17">
        <v>100</v>
      </c>
    </row>
    <row r="49" spans="1:3" x14ac:dyDescent="0.25">
      <c r="A49" s="10" t="s">
        <v>41</v>
      </c>
      <c r="B49" s="10" t="s">
        <v>169</v>
      </c>
      <c r="C49" s="17">
        <v>100</v>
      </c>
    </row>
    <row r="50" spans="1:3" x14ac:dyDescent="0.25">
      <c r="A50" s="10" t="s">
        <v>41</v>
      </c>
      <c r="B50" s="10" t="s">
        <v>174</v>
      </c>
      <c r="C50" s="17">
        <v>100</v>
      </c>
    </row>
    <row r="51" spans="1:3" x14ac:dyDescent="0.25">
      <c r="A51" s="10" t="s">
        <v>41</v>
      </c>
      <c r="B51" s="10" t="s">
        <v>175</v>
      </c>
      <c r="C51" s="17">
        <v>100</v>
      </c>
    </row>
    <row r="52" spans="1:3" x14ac:dyDescent="0.25">
      <c r="A52" s="10" t="s">
        <v>41</v>
      </c>
      <c r="B52" s="10" t="s">
        <v>182</v>
      </c>
      <c r="C52" s="17">
        <v>60</v>
      </c>
    </row>
    <row r="53" spans="1:3" x14ac:dyDescent="0.25">
      <c r="A53" s="10" t="s">
        <v>41</v>
      </c>
      <c r="B53" s="10" t="s">
        <v>186</v>
      </c>
      <c r="C53" s="17">
        <v>60</v>
      </c>
    </row>
    <row r="54" spans="1:3" x14ac:dyDescent="0.25">
      <c r="A54" s="10" t="s">
        <v>41</v>
      </c>
      <c r="B54" s="10" t="s">
        <v>454</v>
      </c>
      <c r="C54" s="17">
        <v>80</v>
      </c>
    </row>
    <row r="55" spans="1:3" x14ac:dyDescent="0.25">
      <c r="A55" s="10" t="s">
        <v>41</v>
      </c>
      <c r="B55" s="10" t="s">
        <v>200</v>
      </c>
      <c r="C55" s="17">
        <v>60</v>
      </c>
    </row>
    <row r="56" spans="1:3" x14ac:dyDescent="0.25">
      <c r="A56" s="10" t="s">
        <v>41</v>
      </c>
      <c r="B56" s="10" t="s">
        <v>205</v>
      </c>
      <c r="C56" s="17">
        <v>100</v>
      </c>
    </row>
    <row r="57" spans="1:3" x14ac:dyDescent="0.25">
      <c r="A57" s="10" t="s">
        <v>41</v>
      </c>
      <c r="B57" s="10" t="s">
        <v>220</v>
      </c>
      <c r="C57" s="17">
        <v>20</v>
      </c>
    </row>
    <row r="58" spans="1:3" x14ac:dyDescent="0.25">
      <c r="A58" s="10" t="s">
        <v>41</v>
      </c>
      <c r="B58" s="10" t="s">
        <v>222</v>
      </c>
      <c r="C58" s="17">
        <v>60</v>
      </c>
    </row>
    <row r="59" spans="1:3" x14ac:dyDescent="0.25">
      <c r="A59" s="10" t="s">
        <v>41</v>
      </c>
      <c r="B59" s="10" t="s">
        <v>228</v>
      </c>
      <c r="C59" s="17">
        <v>80</v>
      </c>
    </row>
    <row r="60" spans="1:3" x14ac:dyDescent="0.25">
      <c r="A60" s="10" t="s">
        <v>41</v>
      </c>
      <c r="B60" s="10" t="s">
        <v>233</v>
      </c>
      <c r="C60" s="17">
        <v>40</v>
      </c>
    </row>
    <row r="61" spans="1:3" x14ac:dyDescent="0.25">
      <c r="A61" s="10" t="s">
        <v>41</v>
      </c>
      <c r="B61" s="10" t="s">
        <v>235</v>
      </c>
      <c r="C61" s="17">
        <v>60</v>
      </c>
    </row>
    <row r="62" spans="1:3" x14ac:dyDescent="0.25">
      <c r="A62" s="10" t="s">
        <v>238</v>
      </c>
      <c r="B62" s="10" t="s">
        <v>239</v>
      </c>
      <c r="C62" s="17">
        <v>80</v>
      </c>
    </row>
    <row r="63" spans="1:3" x14ac:dyDescent="0.25">
      <c r="A63" s="10" t="s">
        <v>238</v>
      </c>
      <c r="B63" s="10" t="s">
        <v>245</v>
      </c>
      <c r="C63" s="17">
        <v>60</v>
      </c>
    </row>
    <row r="64" spans="1:3" x14ac:dyDescent="0.25">
      <c r="A64" s="10" t="s">
        <v>238</v>
      </c>
      <c r="B64" s="10" t="s">
        <v>256</v>
      </c>
      <c r="C64" s="17">
        <v>60</v>
      </c>
    </row>
    <row r="65" spans="1:3" x14ac:dyDescent="0.25">
      <c r="A65" s="10" t="s">
        <v>238</v>
      </c>
      <c r="B65" s="10" t="s">
        <v>262</v>
      </c>
      <c r="C65" s="17">
        <v>60</v>
      </c>
    </row>
    <row r="66" spans="1:3" x14ac:dyDescent="0.25">
      <c r="A66" s="10" t="s">
        <v>238</v>
      </c>
      <c r="B66" s="10" t="s">
        <v>264</v>
      </c>
      <c r="C66" s="17">
        <v>40</v>
      </c>
    </row>
    <row r="67" spans="1:3" x14ac:dyDescent="0.25">
      <c r="A67" s="10" t="s">
        <v>238</v>
      </c>
      <c r="B67" s="10" t="s">
        <v>268</v>
      </c>
      <c r="C67" s="17">
        <v>40</v>
      </c>
    </row>
    <row r="68" spans="1:3" x14ac:dyDescent="0.25">
      <c r="A68" s="10" t="s">
        <v>238</v>
      </c>
      <c r="B68" s="10" t="s">
        <v>270</v>
      </c>
      <c r="C68" s="17">
        <v>80</v>
      </c>
    </row>
    <row r="69" spans="1:3" x14ac:dyDescent="0.25">
      <c r="A69" s="10" t="s">
        <v>238</v>
      </c>
      <c r="B69" s="10" t="s">
        <v>274</v>
      </c>
      <c r="C69" s="17">
        <v>100</v>
      </c>
    </row>
    <row r="70" spans="1:3" x14ac:dyDescent="0.25">
      <c r="A70" s="10" t="s">
        <v>238</v>
      </c>
      <c r="B70" s="10" t="s">
        <v>279</v>
      </c>
      <c r="C70" s="17">
        <v>100</v>
      </c>
    </row>
    <row r="71" spans="1:3" x14ac:dyDescent="0.25">
      <c r="A71" s="10" t="s">
        <v>238</v>
      </c>
      <c r="B71" s="10" t="s">
        <v>280</v>
      </c>
      <c r="C71" s="17">
        <v>100</v>
      </c>
    </row>
    <row r="72" spans="1:3" x14ac:dyDescent="0.25">
      <c r="A72" s="10" t="s">
        <v>238</v>
      </c>
      <c r="B72" s="6" t="s">
        <v>484</v>
      </c>
      <c r="C72" s="17">
        <v>100</v>
      </c>
    </row>
    <row r="73" spans="1:3" x14ac:dyDescent="0.25">
      <c r="A73" s="10" t="s">
        <v>238</v>
      </c>
      <c r="B73" s="10" t="s">
        <v>281</v>
      </c>
      <c r="C73" s="17">
        <v>100</v>
      </c>
    </row>
    <row r="74" spans="1:3" x14ac:dyDescent="0.25">
      <c r="A74" s="10" t="s">
        <v>238</v>
      </c>
      <c r="B74" s="6" t="s">
        <v>485</v>
      </c>
      <c r="C74" s="17">
        <v>100</v>
      </c>
    </row>
    <row r="75" spans="1:3" x14ac:dyDescent="0.25">
      <c r="A75" s="10" t="s">
        <v>238</v>
      </c>
      <c r="B75" s="6" t="s">
        <v>486</v>
      </c>
      <c r="C75" s="17">
        <v>100</v>
      </c>
    </row>
    <row r="76" spans="1:3" x14ac:dyDescent="0.25">
      <c r="A76" s="10" t="s">
        <v>238</v>
      </c>
      <c r="B76" s="6" t="s">
        <v>487</v>
      </c>
      <c r="C76" s="17">
        <v>100</v>
      </c>
    </row>
    <row r="77" spans="1:3" x14ac:dyDescent="0.25">
      <c r="A77" s="10" t="s">
        <v>238</v>
      </c>
      <c r="B77" s="6" t="s">
        <v>488</v>
      </c>
      <c r="C77" s="17">
        <v>100</v>
      </c>
    </row>
    <row r="78" spans="1:3" x14ac:dyDescent="0.25">
      <c r="A78" s="10" t="s">
        <v>238</v>
      </c>
      <c r="B78" s="6" t="s">
        <v>489</v>
      </c>
      <c r="C78" s="17">
        <v>100</v>
      </c>
    </row>
    <row r="79" spans="1:3" x14ac:dyDescent="0.25">
      <c r="A79" s="10" t="s">
        <v>238</v>
      </c>
      <c r="B79" s="6" t="s">
        <v>490</v>
      </c>
      <c r="C79" s="17">
        <v>100</v>
      </c>
    </row>
    <row r="80" spans="1:3" x14ac:dyDescent="0.25">
      <c r="A80" s="10" t="s">
        <v>238</v>
      </c>
      <c r="B80" s="10" t="s">
        <v>205</v>
      </c>
      <c r="C80" s="17">
        <v>100</v>
      </c>
    </row>
    <row r="81" spans="1:3" x14ac:dyDescent="0.25">
      <c r="A81" s="10" t="s">
        <v>238</v>
      </c>
      <c r="B81" s="10" t="s">
        <v>284</v>
      </c>
      <c r="C81" s="17">
        <v>40</v>
      </c>
    </row>
    <row r="82" spans="1:3" x14ac:dyDescent="0.25">
      <c r="A82" s="10" t="s">
        <v>238</v>
      </c>
      <c r="B82" s="10" t="s">
        <v>289</v>
      </c>
      <c r="C82" s="17">
        <v>40</v>
      </c>
    </row>
    <row r="83" spans="1:3" x14ac:dyDescent="0.25">
      <c r="A83" s="10" t="s">
        <v>238</v>
      </c>
      <c r="B83" s="10" t="s">
        <v>291</v>
      </c>
      <c r="C83" s="17">
        <v>80</v>
      </c>
    </row>
    <row r="84" spans="1:3" x14ac:dyDescent="0.25">
      <c r="A84" s="10" t="s">
        <v>238</v>
      </c>
      <c r="B84" s="10" t="s">
        <v>292</v>
      </c>
      <c r="C84" s="17">
        <v>100</v>
      </c>
    </row>
    <row r="85" spans="1:3" x14ac:dyDescent="0.25">
      <c r="A85" s="10" t="s">
        <v>238</v>
      </c>
      <c r="B85" s="10" t="s">
        <v>302</v>
      </c>
      <c r="C85" s="17">
        <v>80</v>
      </c>
    </row>
    <row r="86" spans="1:3" x14ac:dyDescent="0.25">
      <c r="A86" s="10" t="s">
        <v>238</v>
      </c>
      <c r="B86" s="10" t="s">
        <v>307</v>
      </c>
      <c r="C86" s="17">
        <v>20</v>
      </c>
    </row>
    <row r="87" spans="1:3" x14ac:dyDescent="0.25">
      <c r="A87" s="10" t="s">
        <v>238</v>
      </c>
      <c r="B87" s="10" t="s">
        <v>312</v>
      </c>
      <c r="C87" s="17">
        <v>40</v>
      </c>
    </row>
    <row r="88" spans="1:3" x14ac:dyDescent="0.25">
      <c r="A88" s="10" t="s">
        <v>238</v>
      </c>
      <c r="B88" s="10" t="s">
        <v>313</v>
      </c>
      <c r="C88" s="17">
        <v>80</v>
      </c>
    </row>
    <row r="89" spans="1:3" x14ac:dyDescent="0.25">
      <c r="A89" s="10" t="s">
        <v>238</v>
      </c>
      <c r="B89" s="10" t="s">
        <v>318</v>
      </c>
      <c r="C89" s="17">
        <v>100</v>
      </c>
    </row>
    <row r="90" spans="1:3" x14ac:dyDescent="0.25">
      <c r="A90" s="10" t="s">
        <v>238</v>
      </c>
      <c r="B90" s="10" t="s">
        <v>235</v>
      </c>
      <c r="C90" s="17">
        <v>60</v>
      </c>
    </row>
    <row r="91" spans="1:3" x14ac:dyDescent="0.25">
      <c r="A91" s="10" t="s">
        <v>238</v>
      </c>
      <c r="B91" s="10" t="s">
        <v>319</v>
      </c>
      <c r="C91" s="17">
        <v>100</v>
      </c>
    </row>
    <row r="92" spans="1:3" x14ac:dyDescent="0.25">
      <c r="A92" s="10" t="s">
        <v>238</v>
      </c>
      <c r="B92" s="10" t="s">
        <v>321</v>
      </c>
      <c r="C92" s="17">
        <v>80</v>
      </c>
    </row>
    <row r="93" spans="1:3" x14ac:dyDescent="0.25">
      <c r="A93" s="10" t="s">
        <v>238</v>
      </c>
      <c r="B93" s="10" t="s">
        <v>322</v>
      </c>
      <c r="C93" s="17">
        <v>20</v>
      </c>
    </row>
    <row r="94" spans="1:3" x14ac:dyDescent="0.25">
      <c r="A94" s="10" t="s">
        <v>238</v>
      </c>
      <c r="B94" s="10" t="s">
        <v>324</v>
      </c>
      <c r="C94" s="17">
        <v>100</v>
      </c>
    </row>
    <row r="95" spans="1:3" x14ac:dyDescent="0.25">
      <c r="A95" s="10" t="s">
        <v>238</v>
      </c>
      <c r="B95" s="10" t="s">
        <v>340</v>
      </c>
      <c r="C95" s="17">
        <v>100</v>
      </c>
    </row>
    <row r="96" spans="1:3" x14ac:dyDescent="0.25">
      <c r="A96" s="10" t="s">
        <v>238</v>
      </c>
      <c r="B96" s="10" t="s">
        <v>343</v>
      </c>
      <c r="C96" s="17">
        <v>100</v>
      </c>
    </row>
    <row r="97" spans="1:3" x14ac:dyDescent="0.25">
      <c r="A97" s="10" t="s">
        <v>238</v>
      </c>
      <c r="B97" s="10" t="s">
        <v>344</v>
      </c>
      <c r="C97" s="17">
        <v>20</v>
      </c>
    </row>
    <row r="98" spans="1:3" x14ac:dyDescent="0.25">
      <c r="A98" s="10" t="s">
        <v>238</v>
      </c>
      <c r="B98" s="10" t="s">
        <v>346</v>
      </c>
      <c r="C98" s="17">
        <v>20</v>
      </c>
    </row>
    <row r="99" spans="1:3" x14ac:dyDescent="0.25">
      <c r="A99" s="10" t="s">
        <v>238</v>
      </c>
      <c r="B99" s="10" t="s">
        <v>222</v>
      </c>
      <c r="C99" s="17">
        <v>80</v>
      </c>
    </row>
    <row r="100" spans="1:3" x14ac:dyDescent="0.25">
      <c r="A100" s="10" t="s">
        <v>238</v>
      </c>
      <c r="B100" s="10" t="s">
        <v>463</v>
      </c>
      <c r="C100" s="17">
        <v>80</v>
      </c>
    </row>
    <row r="101" spans="1:3" x14ac:dyDescent="0.25">
      <c r="A101" s="10" t="s">
        <v>238</v>
      </c>
      <c r="B101" s="10" t="s">
        <v>466</v>
      </c>
      <c r="C101" s="17">
        <v>60</v>
      </c>
    </row>
    <row r="102" spans="1:3" x14ac:dyDescent="0.25">
      <c r="A102" s="10" t="s">
        <v>238</v>
      </c>
      <c r="B102" s="10" t="s">
        <v>350</v>
      </c>
      <c r="C102" s="17">
        <v>100</v>
      </c>
    </row>
    <row r="103" spans="1:3" x14ac:dyDescent="0.25">
      <c r="A103" s="10" t="s">
        <v>238</v>
      </c>
      <c r="B103" s="10" t="s">
        <v>356</v>
      </c>
      <c r="C103" s="17">
        <v>80</v>
      </c>
    </row>
    <row r="104" spans="1:3" x14ac:dyDescent="0.25">
      <c r="A104" s="10" t="s">
        <v>238</v>
      </c>
      <c r="B104" s="10" t="s">
        <v>368</v>
      </c>
      <c r="C104" s="17">
        <v>20</v>
      </c>
    </row>
    <row r="105" spans="1:3" x14ac:dyDescent="0.25">
      <c r="A105" s="10" t="s">
        <v>238</v>
      </c>
      <c r="B105" s="10" t="s">
        <v>372</v>
      </c>
      <c r="C105" s="17">
        <v>80</v>
      </c>
    </row>
    <row r="106" spans="1:3" x14ac:dyDescent="0.25">
      <c r="A106" s="10" t="s">
        <v>238</v>
      </c>
      <c r="B106" s="10" t="s">
        <v>342</v>
      </c>
      <c r="C106" s="17">
        <v>100</v>
      </c>
    </row>
    <row r="107" spans="1:3" x14ac:dyDescent="0.25">
      <c r="A107" s="10" t="s">
        <v>238</v>
      </c>
      <c r="B107" s="10" t="s">
        <v>376</v>
      </c>
      <c r="C107" s="17">
        <v>40</v>
      </c>
    </row>
    <row r="108" spans="1:3" x14ac:dyDescent="0.25">
      <c r="A108" s="10" t="s">
        <v>238</v>
      </c>
      <c r="B108" s="10" t="s">
        <v>379</v>
      </c>
      <c r="C108" s="17">
        <v>40</v>
      </c>
    </row>
    <row r="109" spans="1:3" x14ac:dyDescent="0.25">
      <c r="A109" s="10" t="s">
        <v>381</v>
      </c>
      <c r="B109" s="10" t="s">
        <v>382</v>
      </c>
      <c r="C109" s="17">
        <v>10</v>
      </c>
    </row>
    <row r="110" spans="1:3" x14ac:dyDescent="0.25">
      <c r="A110" s="10" t="s">
        <v>381</v>
      </c>
      <c r="B110" s="10" t="s">
        <v>402</v>
      </c>
      <c r="C110" s="17">
        <v>10</v>
      </c>
    </row>
    <row r="111" spans="1:3" x14ac:dyDescent="0.25">
      <c r="A111" s="10" t="s">
        <v>381</v>
      </c>
      <c r="B111" s="10" t="s">
        <v>403</v>
      </c>
      <c r="C111" s="17">
        <v>10</v>
      </c>
    </row>
    <row r="112" spans="1:3" x14ac:dyDescent="0.25">
      <c r="A112" s="10" t="s">
        <v>381</v>
      </c>
      <c r="B112" s="10" t="s">
        <v>404</v>
      </c>
      <c r="C112" s="17">
        <v>10</v>
      </c>
    </row>
    <row r="113" spans="1:3" x14ac:dyDescent="0.25">
      <c r="A113" s="10" t="s">
        <v>381</v>
      </c>
      <c r="B113" s="10" t="s">
        <v>405</v>
      </c>
      <c r="C113" s="17">
        <v>10</v>
      </c>
    </row>
    <row r="114" spans="1:3" x14ac:dyDescent="0.25">
      <c r="A114" s="10" t="s">
        <v>381</v>
      </c>
      <c r="B114" s="10" t="s">
        <v>406</v>
      </c>
      <c r="C114" s="17">
        <v>10</v>
      </c>
    </row>
    <row r="115" spans="1:3" x14ac:dyDescent="0.25">
      <c r="A115" s="10" t="s">
        <v>381</v>
      </c>
      <c r="B115" s="10" t="s">
        <v>407</v>
      </c>
      <c r="C115" s="17">
        <v>10</v>
      </c>
    </row>
    <row r="116" spans="1:3" x14ac:dyDescent="0.25">
      <c r="A116" s="10" t="s">
        <v>381</v>
      </c>
      <c r="B116" s="10" t="s">
        <v>408</v>
      </c>
      <c r="C116" s="17">
        <v>10</v>
      </c>
    </row>
    <row r="117" spans="1:3" x14ac:dyDescent="0.25">
      <c r="A117" s="10" t="s">
        <v>381</v>
      </c>
      <c r="B117" s="10" t="s">
        <v>409</v>
      </c>
      <c r="C117" s="17">
        <v>10</v>
      </c>
    </row>
    <row r="118" spans="1:3" x14ac:dyDescent="0.25">
      <c r="A118" s="10" t="s">
        <v>381</v>
      </c>
      <c r="B118" s="10" t="s">
        <v>410</v>
      </c>
      <c r="C118" s="17">
        <v>10</v>
      </c>
    </row>
    <row r="119" spans="1:3" x14ac:dyDescent="0.25">
      <c r="A119" s="10" t="s">
        <v>381</v>
      </c>
      <c r="B119" s="10" t="s">
        <v>472</v>
      </c>
      <c r="C119" s="17">
        <v>10</v>
      </c>
    </row>
    <row r="120" spans="1:3" x14ac:dyDescent="0.25">
      <c r="A120" s="10" t="s">
        <v>381</v>
      </c>
      <c r="B120" s="10" t="s">
        <v>473</v>
      </c>
      <c r="C120" s="17">
        <v>10</v>
      </c>
    </row>
    <row r="121" spans="1:3" x14ac:dyDescent="0.25">
      <c r="A121" s="10" t="s">
        <v>381</v>
      </c>
      <c r="B121" s="10" t="s">
        <v>474</v>
      </c>
      <c r="C121" s="17">
        <v>10</v>
      </c>
    </row>
    <row r="122" spans="1:3" x14ac:dyDescent="0.25">
      <c r="A122" s="10" t="s">
        <v>381</v>
      </c>
      <c r="B122" s="10" t="s">
        <v>475</v>
      </c>
      <c r="C122" s="17">
        <v>10</v>
      </c>
    </row>
    <row r="123" spans="1:3" x14ac:dyDescent="0.25">
      <c r="A123" s="10" t="s">
        <v>381</v>
      </c>
      <c r="B123" s="10" t="s">
        <v>476</v>
      </c>
      <c r="C123" s="17">
        <v>10</v>
      </c>
    </row>
    <row r="124" spans="1:3" x14ac:dyDescent="0.25">
      <c r="A124" s="10" t="s">
        <v>381</v>
      </c>
      <c r="B124" s="10" t="s">
        <v>477</v>
      </c>
      <c r="C124" s="17">
        <v>10</v>
      </c>
    </row>
    <row r="125" spans="1:3" x14ac:dyDescent="0.25">
      <c r="A125" s="10" t="s">
        <v>381</v>
      </c>
      <c r="B125" s="10" t="s">
        <v>478</v>
      </c>
      <c r="C125" s="17">
        <v>10</v>
      </c>
    </row>
    <row r="126" spans="1:3" x14ac:dyDescent="0.25">
      <c r="A126" s="10" t="s">
        <v>381</v>
      </c>
      <c r="B126" s="10" t="s">
        <v>479</v>
      </c>
      <c r="C126" s="17">
        <v>10</v>
      </c>
    </row>
    <row r="127" spans="1:3" x14ac:dyDescent="0.25">
      <c r="A127" s="10" t="s">
        <v>381</v>
      </c>
      <c r="B127" s="10" t="s">
        <v>480</v>
      </c>
      <c r="C127" s="17">
        <v>10</v>
      </c>
    </row>
    <row r="128" spans="1:3" x14ac:dyDescent="0.25">
      <c r="A128" s="10" t="s">
        <v>381</v>
      </c>
      <c r="B128" s="10" t="s">
        <v>481</v>
      </c>
      <c r="C128" s="17">
        <v>10</v>
      </c>
    </row>
    <row r="129" spans="1:3" x14ac:dyDescent="0.25">
      <c r="A129" s="10" t="s">
        <v>238</v>
      </c>
      <c r="B129" s="10" t="s">
        <v>491</v>
      </c>
      <c r="C129" s="17">
        <v>100</v>
      </c>
    </row>
    <row r="130" spans="1:3" x14ac:dyDescent="0.25">
      <c r="A130" s="10" t="s">
        <v>41</v>
      </c>
      <c r="B130" s="10" t="s">
        <v>492</v>
      </c>
      <c r="C130" s="17">
        <v>100</v>
      </c>
    </row>
    <row r="131" spans="1:3" x14ac:dyDescent="0.25">
      <c r="A131" s="10" t="s">
        <v>41</v>
      </c>
      <c r="B131" s="10" t="s">
        <v>493</v>
      </c>
      <c r="C131" s="17">
        <v>100</v>
      </c>
    </row>
    <row r="132" spans="1:3" x14ac:dyDescent="0.25">
      <c r="A132" s="10" t="s">
        <v>238</v>
      </c>
      <c r="B132" s="10" t="s">
        <v>494</v>
      </c>
      <c r="C132" s="17">
        <v>80</v>
      </c>
    </row>
    <row r="133" spans="1:3" x14ac:dyDescent="0.25">
      <c r="A133"/>
      <c r="B133"/>
    </row>
    <row r="134" spans="1:3" x14ac:dyDescent="0.25">
      <c r="A134"/>
      <c r="B134"/>
    </row>
    <row r="135" spans="1:3" x14ac:dyDescent="0.25">
      <c r="A135"/>
      <c r="B135"/>
    </row>
    <row r="136" spans="1:3" x14ac:dyDescent="0.25">
      <c r="A136"/>
      <c r="B136"/>
    </row>
    <row r="137" spans="1:3" x14ac:dyDescent="0.25">
      <c r="A137"/>
      <c r="B137"/>
    </row>
    <row r="138" spans="1:3" x14ac:dyDescent="0.25">
      <c r="A138"/>
      <c r="B138"/>
    </row>
    <row r="139" spans="1:3" x14ac:dyDescent="0.25">
      <c r="A139"/>
      <c r="B139"/>
    </row>
    <row r="140" spans="1:3" x14ac:dyDescent="0.25">
      <c r="A140"/>
      <c r="B140"/>
    </row>
    <row r="141" spans="1:3" x14ac:dyDescent="0.25">
      <c r="A141"/>
      <c r="B141"/>
    </row>
    <row r="142" spans="1:3" x14ac:dyDescent="0.25">
      <c r="A142"/>
      <c r="B142"/>
    </row>
    <row r="143" spans="1:3" x14ac:dyDescent="0.25">
      <c r="A143"/>
      <c r="B143"/>
    </row>
    <row r="144" spans="1:3" x14ac:dyDescent="0.25">
      <c r="A144"/>
      <c r="B144"/>
    </row>
    <row r="145" spans="1:2" x14ac:dyDescent="0.25">
      <c r="A145"/>
      <c r="B145"/>
    </row>
    <row r="146" spans="1:2" x14ac:dyDescent="0.25">
      <c r="A146"/>
      <c r="B146"/>
    </row>
    <row r="147" spans="1:2" x14ac:dyDescent="0.25">
      <c r="A147"/>
      <c r="B147"/>
    </row>
    <row r="148" spans="1:2" x14ac:dyDescent="0.25">
      <c r="A148"/>
      <c r="B148"/>
    </row>
    <row r="149" spans="1:2" x14ac:dyDescent="0.25">
      <c r="A149"/>
      <c r="B149"/>
    </row>
    <row r="150" spans="1:2" x14ac:dyDescent="0.25">
      <c r="A150"/>
      <c r="B150"/>
    </row>
    <row r="151" spans="1:2" x14ac:dyDescent="0.25">
      <c r="A151"/>
      <c r="B151"/>
    </row>
    <row r="152" spans="1:2" x14ac:dyDescent="0.25">
      <c r="A152"/>
      <c r="B152"/>
    </row>
    <row r="153" spans="1:2" x14ac:dyDescent="0.25">
      <c r="A153"/>
      <c r="B153"/>
    </row>
    <row r="154" spans="1:2" x14ac:dyDescent="0.25">
      <c r="A154"/>
      <c r="B154"/>
    </row>
    <row r="155" spans="1:2" x14ac:dyDescent="0.25">
      <c r="A155"/>
      <c r="B155"/>
    </row>
    <row r="156" spans="1:2" x14ac:dyDescent="0.25">
      <c r="A156"/>
      <c r="B156"/>
    </row>
    <row r="157" spans="1:2" x14ac:dyDescent="0.25">
      <c r="A157"/>
      <c r="B157"/>
    </row>
    <row r="158" spans="1:2" x14ac:dyDescent="0.25">
      <c r="A158"/>
      <c r="B158"/>
    </row>
    <row r="159" spans="1:2" x14ac:dyDescent="0.25">
      <c r="A159"/>
      <c r="B159"/>
    </row>
    <row r="160" spans="1:2" x14ac:dyDescent="0.25">
      <c r="A160"/>
      <c r="B160"/>
    </row>
    <row r="161" spans="1:2" x14ac:dyDescent="0.25">
      <c r="A161"/>
      <c r="B161"/>
    </row>
    <row r="162" spans="1:2" x14ac:dyDescent="0.25">
      <c r="A162"/>
      <c r="B162"/>
    </row>
    <row r="163" spans="1:2" x14ac:dyDescent="0.25">
      <c r="A163"/>
      <c r="B163"/>
    </row>
    <row r="164" spans="1:2" x14ac:dyDescent="0.25">
      <c r="A164"/>
      <c r="B164"/>
    </row>
    <row r="165" spans="1:2" x14ac:dyDescent="0.25">
      <c r="A165"/>
      <c r="B165"/>
    </row>
    <row r="166" spans="1:2" x14ac:dyDescent="0.25">
      <c r="A166"/>
      <c r="B166"/>
    </row>
    <row r="167" spans="1:2" x14ac:dyDescent="0.25">
      <c r="A167"/>
      <c r="B167"/>
    </row>
    <row r="168" spans="1:2" x14ac:dyDescent="0.25">
      <c r="A168"/>
      <c r="B168"/>
    </row>
    <row r="169" spans="1:2" x14ac:dyDescent="0.25">
      <c r="A169"/>
      <c r="B169"/>
    </row>
    <row r="170" spans="1:2" x14ac:dyDescent="0.25">
      <c r="A170"/>
      <c r="B170"/>
    </row>
    <row r="171" spans="1:2" x14ac:dyDescent="0.25">
      <c r="A171"/>
      <c r="B171"/>
    </row>
    <row r="172" spans="1:2" x14ac:dyDescent="0.25">
      <c r="A172"/>
      <c r="B172"/>
    </row>
    <row r="173" spans="1:2" x14ac:dyDescent="0.25">
      <c r="A173"/>
      <c r="B173"/>
    </row>
    <row r="174" spans="1:2" x14ac:dyDescent="0.25">
      <c r="A174"/>
      <c r="B174"/>
    </row>
    <row r="175" spans="1:2" x14ac:dyDescent="0.25">
      <c r="A175"/>
      <c r="B175"/>
    </row>
    <row r="176" spans="1:2" x14ac:dyDescent="0.25">
      <c r="A176"/>
      <c r="B176"/>
    </row>
    <row r="177" spans="1:2" x14ac:dyDescent="0.25">
      <c r="A177"/>
      <c r="B177"/>
    </row>
    <row r="178" spans="1:2" x14ac:dyDescent="0.25">
      <c r="A178"/>
      <c r="B178"/>
    </row>
    <row r="179" spans="1:2" x14ac:dyDescent="0.25">
      <c r="A179"/>
      <c r="B179"/>
    </row>
    <row r="180" spans="1:2" x14ac:dyDescent="0.25">
      <c r="A180"/>
      <c r="B180"/>
    </row>
    <row r="181" spans="1:2" x14ac:dyDescent="0.25">
      <c r="A181"/>
      <c r="B181"/>
    </row>
    <row r="182" spans="1:2" x14ac:dyDescent="0.25">
      <c r="A182"/>
      <c r="B182"/>
    </row>
    <row r="183" spans="1:2" x14ac:dyDescent="0.25">
      <c r="A183"/>
      <c r="B183"/>
    </row>
    <row r="184" spans="1:2" x14ac:dyDescent="0.25">
      <c r="A184"/>
      <c r="B184"/>
    </row>
    <row r="185" spans="1:2" x14ac:dyDescent="0.25">
      <c r="A185"/>
      <c r="B185"/>
    </row>
    <row r="186" spans="1:2" x14ac:dyDescent="0.25">
      <c r="A186"/>
      <c r="B186"/>
    </row>
    <row r="187" spans="1:2" x14ac:dyDescent="0.25">
      <c r="A187"/>
      <c r="B187"/>
    </row>
    <row r="188" spans="1:2" x14ac:dyDescent="0.25">
      <c r="A188"/>
      <c r="B188"/>
    </row>
    <row r="189" spans="1:2" x14ac:dyDescent="0.25">
      <c r="A189"/>
      <c r="B189"/>
    </row>
    <row r="190" spans="1:2" x14ac:dyDescent="0.25">
      <c r="A190"/>
      <c r="B190"/>
    </row>
    <row r="191" spans="1:2" x14ac:dyDescent="0.25">
      <c r="A191"/>
      <c r="B191"/>
    </row>
    <row r="192" spans="1:2" x14ac:dyDescent="0.25">
      <c r="A192"/>
      <c r="B192"/>
    </row>
    <row r="193" spans="1:2" x14ac:dyDescent="0.25">
      <c r="A193"/>
      <c r="B193"/>
    </row>
    <row r="194" spans="1:2" x14ac:dyDescent="0.25">
      <c r="A194"/>
      <c r="B194"/>
    </row>
    <row r="195" spans="1:2" x14ac:dyDescent="0.25">
      <c r="A195"/>
      <c r="B195"/>
    </row>
    <row r="196" spans="1:2" x14ac:dyDescent="0.25">
      <c r="A196"/>
      <c r="B196"/>
    </row>
    <row r="197" spans="1:2" x14ac:dyDescent="0.25">
      <c r="A197"/>
      <c r="B197"/>
    </row>
    <row r="198" spans="1:2" x14ac:dyDescent="0.25">
      <c r="A198"/>
      <c r="B198"/>
    </row>
    <row r="199" spans="1:2" x14ac:dyDescent="0.25">
      <c r="A199"/>
      <c r="B199"/>
    </row>
    <row r="200" spans="1:2" x14ac:dyDescent="0.25">
      <c r="A200"/>
      <c r="B200"/>
    </row>
    <row r="201" spans="1:2" x14ac:dyDescent="0.25">
      <c r="A201"/>
      <c r="B201"/>
    </row>
    <row r="202" spans="1:2" x14ac:dyDescent="0.25">
      <c r="A202"/>
      <c r="B202"/>
    </row>
    <row r="203" spans="1:2" x14ac:dyDescent="0.25">
      <c r="A203"/>
      <c r="B203"/>
    </row>
    <row r="204" spans="1:2" x14ac:dyDescent="0.25">
      <c r="A204"/>
      <c r="B204"/>
    </row>
    <row r="205" spans="1:2" x14ac:dyDescent="0.25">
      <c r="A205"/>
      <c r="B205"/>
    </row>
    <row r="206" spans="1:2" x14ac:dyDescent="0.25">
      <c r="A206"/>
      <c r="B206"/>
    </row>
    <row r="207" spans="1:2" x14ac:dyDescent="0.25">
      <c r="A207"/>
      <c r="B207"/>
    </row>
    <row r="208" spans="1:2" x14ac:dyDescent="0.25">
      <c r="A208"/>
      <c r="B208"/>
    </row>
    <row r="209" spans="1:2" x14ac:dyDescent="0.25">
      <c r="A209"/>
      <c r="B209"/>
    </row>
    <row r="210" spans="1:2" x14ac:dyDescent="0.25">
      <c r="A210"/>
      <c r="B210"/>
    </row>
    <row r="211" spans="1:2" x14ac:dyDescent="0.25">
      <c r="A211"/>
      <c r="B211"/>
    </row>
    <row r="212" spans="1:2" x14ac:dyDescent="0.25">
      <c r="A212"/>
      <c r="B212"/>
    </row>
    <row r="213" spans="1:2" x14ac:dyDescent="0.25">
      <c r="A213"/>
      <c r="B213"/>
    </row>
    <row r="214" spans="1:2" x14ac:dyDescent="0.25">
      <c r="A214"/>
      <c r="B214"/>
    </row>
    <row r="215" spans="1:2" x14ac:dyDescent="0.25">
      <c r="A215"/>
      <c r="B215"/>
    </row>
    <row r="216" spans="1:2" x14ac:dyDescent="0.25">
      <c r="A216"/>
      <c r="B216"/>
    </row>
    <row r="217" spans="1:2" x14ac:dyDescent="0.25">
      <c r="A217"/>
      <c r="B217"/>
    </row>
    <row r="218" spans="1:2" x14ac:dyDescent="0.25">
      <c r="A218"/>
      <c r="B218"/>
    </row>
    <row r="219" spans="1:2" x14ac:dyDescent="0.25">
      <c r="A219"/>
      <c r="B219"/>
    </row>
    <row r="220" spans="1:2" x14ac:dyDescent="0.25">
      <c r="A220"/>
      <c r="B220"/>
    </row>
    <row r="221" spans="1:2" x14ac:dyDescent="0.25">
      <c r="A221"/>
      <c r="B221"/>
    </row>
    <row r="222" spans="1:2" x14ac:dyDescent="0.25">
      <c r="A222"/>
      <c r="B222"/>
    </row>
    <row r="223" spans="1:2" x14ac:dyDescent="0.25">
      <c r="A223"/>
      <c r="B223"/>
    </row>
    <row r="224" spans="1:2" x14ac:dyDescent="0.25">
      <c r="A224"/>
      <c r="B224"/>
    </row>
    <row r="225" spans="1:2" x14ac:dyDescent="0.25">
      <c r="A225"/>
      <c r="B225"/>
    </row>
    <row r="226" spans="1:2" x14ac:dyDescent="0.25">
      <c r="A226"/>
      <c r="B226"/>
    </row>
    <row r="227" spans="1:2" x14ac:dyDescent="0.25">
      <c r="A227"/>
      <c r="B227"/>
    </row>
    <row r="228" spans="1:2" x14ac:dyDescent="0.25">
      <c r="A228"/>
      <c r="B228"/>
    </row>
    <row r="229" spans="1:2" x14ac:dyDescent="0.25">
      <c r="A229"/>
      <c r="B229"/>
    </row>
    <row r="230" spans="1:2" x14ac:dyDescent="0.25">
      <c r="A230"/>
      <c r="B230"/>
    </row>
    <row r="231" spans="1:2" x14ac:dyDescent="0.25">
      <c r="A231"/>
      <c r="B231"/>
    </row>
    <row r="232" spans="1:2" x14ac:dyDescent="0.25">
      <c r="A232"/>
      <c r="B232"/>
    </row>
    <row r="233" spans="1:2" x14ac:dyDescent="0.25">
      <c r="A233"/>
      <c r="B233"/>
    </row>
    <row r="234" spans="1:2" x14ac:dyDescent="0.25">
      <c r="A234"/>
      <c r="B234"/>
    </row>
    <row r="235" spans="1:2" x14ac:dyDescent="0.25">
      <c r="A235"/>
      <c r="B235"/>
    </row>
    <row r="236" spans="1:2" x14ac:dyDescent="0.25">
      <c r="A236"/>
      <c r="B236"/>
    </row>
    <row r="237" spans="1:2" x14ac:dyDescent="0.25">
      <c r="A237"/>
      <c r="B237"/>
    </row>
    <row r="238" spans="1:2" x14ac:dyDescent="0.25">
      <c r="A238"/>
      <c r="B238"/>
    </row>
    <row r="239" spans="1:2" x14ac:dyDescent="0.25">
      <c r="A239"/>
      <c r="B239"/>
    </row>
    <row r="240" spans="1:2" x14ac:dyDescent="0.25">
      <c r="A240"/>
      <c r="B240"/>
    </row>
    <row r="241" spans="1:2" x14ac:dyDescent="0.25">
      <c r="A241"/>
      <c r="B241"/>
    </row>
    <row r="242" spans="1:2" x14ac:dyDescent="0.25">
      <c r="A242"/>
      <c r="B242"/>
    </row>
    <row r="243" spans="1:2" x14ac:dyDescent="0.25">
      <c r="A243"/>
      <c r="B243"/>
    </row>
    <row r="244" spans="1:2" x14ac:dyDescent="0.25">
      <c r="A244"/>
      <c r="B244"/>
    </row>
    <row r="245" spans="1:2" x14ac:dyDescent="0.25">
      <c r="A245"/>
      <c r="B245"/>
    </row>
    <row r="246" spans="1:2" x14ac:dyDescent="0.25">
      <c r="A246"/>
      <c r="B246"/>
    </row>
    <row r="247" spans="1:2" x14ac:dyDescent="0.25">
      <c r="A247"/>
      <c r="B247"/>
    </row>
    <row r="248" spans="1:2" x14ac:dyDescent="0.25">
      <c r="A248"/>
      <c r="B248"/>
    </row>
    <row r="249" spans="1:2" x14ac:dyDescent="0.25">
      <c r="A249"/>
      <c r="B249"/>
    </row>
    <row r="250" spans="1:2" x14ac:dyDescent="0.25">
      <c r="A250"/>
      <c r="B250"/>
    </row>
    <row r="251" spans="1:2" x14ac:dyDescent="0.25">
      <c r="A251"/>
      <c r="B251"/>
    </row>
    <row r="252" spans="1:2" x14ac:dyDescent="0.25">
      <c r="A252"/>
      <c r="B252"/>
    </row>
    <row r="253" spans="1:2" x14ac:dyDescent="0.25">
      <c r="A253"/>
      <c r="B253"/>
    </row>
    <row r="254" spans="1:2" x14ac:dyDescent="0.25">
      <c r="A254"/>
      <c r="B254"/>
    </row>
    <row r="255" spans="1:2" x14ac:dyDescent="0.25">
      <c r="A255"/>
      <c r="B255"/>
    </row>
    <row r="256" spans="1:2" x14ac:dyDescent="0.25">
      <c r="A256"/>
      <c r="B256"/>
    </row>
    <row r="257" spans="1:2" x14ac:dyDescent="0.25">
      <c r="A257"/>
      <c r="B257"/>
    </row>
    <row r="258" spans="1:2" x14ac:dyDescent="0.25">
      <c r="A258"/>
      <c r="B258"/>
    </row>
    <row r="259" spans="1:2" x14ac:dyDescent="0.25">
      <c r="A259"/>
      <c r="B259"/>
    </row>
    <row r="260" spans="1:2" x14ac:dyDescent="0.25">
      <c r="A260"/>
      <c r="B260"/>
    </row>
    <row r="261" spans="1:2" x14ac:dyDescent="0.25">
      <c r="A261"/>
      <c r="B261"/>
    </row>
    <row r="262" spans="1:2" x14ac:dyDescent="0.25">
      <c r="A262"/>
      <c r="B262"/>
    </row>
    <row r="263" spans="1:2" x14ac:dyDescent="0.25">
      <c r="A263"/>
      <c r="B263"/>
    </row>
    <row r="264" spans="1:2" x14ac:dyDescent="0.25">
      <c r="A264"/>
      <c r="B264"/>
    </row>
    <row r="265" spans="1:2" x14ac:dyDescent="0.25">
      <c r="A265"/>
      <c r="B265"/>
    </row>
    <row r="266" spans="1:2" x14ac:dyDescent="0.25">
      <c r="A266"/>
      <c r="B266"/>
    </row>
    <row r="267" spans="1:2" x14ac:dyDescent="0.25">
      <c r="A267"/>
      <c r="B267"/>
    </row>
    <row r="268" spans="1:2" x14ac:dyDescent="0.25">
      <c r="A268"/>
      <c r="B268"/>
    </row>
    <row r="269" spans="1:2" x14ac:dyDescent="0.25">
      <c r="A269"/>
      <c r="B269"/>
    </row>
    <row r="270" spans="1:2" x14ac:dyDescent="0.25">
      <c r="A270"/>
      <c r="B270"/>
    </row>
    <row r="271" spans="1:2" x14ac:dyDescent="0.25">
      <c r="A271"/>
      <c r="B271"/>
    </row>
    <row r="272" spans="1:2" x14ac:dyDescent="0.25">
      <c r="A272"/>
      <c r="B272"/>
    </row>
    <row r="273" spans="1:2" x14ac:dyDescent="0.25">
      <c r="A273"/>
      <c r="B273"/>
    </row>
    <row r="274" spans="1:2" x14ac:dyDescent="0.25">
      <c r="A274"/>
      <c r="B274"/>
    </row>
    <row r="275" spans="1:2" x14ac:dyDescent="0.25">
      <c r="A275"/>
      <c r="B275"/>
    </row>
    <row r="276" spans="1:2" x14ac:dyDescent="0.25">
      <c r="A276"/>
      <c r="B276"/>
    </row>
    <row r="277" spans="1:2" x14ac:dyDescent="0.25">
      <c r="A277"/>
      <c r="B277"/>
    </row>
    <row r="278" spans="1:2" x14ac:dyDescent="0.25">
      <c r="A278"/>
      <c r="B278"/>
    </row>
    <row r="279" spans="1:2" x14ac:dyDescent="0.25">
      <c r="A279"/>
      <c r="B279"/>
    </row>
    <row r="280" spans="1:2" x14ac:dyDescent="0.25">
      <c r="A280"/>
      <c r="B280"/>
    </row>
    <row r="281" spans="1:2" x14ac:dyDescent="0.25">
      <c r="A281"/>
      <c r="B281"/>
    </row>
    <row r="282" spans="1:2" x14ac:dyDescent="0.25">
      <c r="A282"/>
      <c r="B282"/>
    </row>
    <row r="283" spans="1:2" x14ac:dyDescent="0.25">
      <c r="A283"/>
      <c r="B283"/>
    </row>
    <row r="284" spans="1:2" x14ac:dyDescent="0.25">
      <c r="A284"/>
      <c r="B284"/>
    </row>
    <row r="285" spans="1:2" x14ac:dyDescent="0.25">
      <c r="A285"/>
      <c r="B285"/>
    </row>
    <row r="286" spans="1:2" x14ac:dyDescent="0.25">
      <c r="A286"/>
      <c r="B286"/>
    </row>
    <row r="287" spans="1:2" x14ac:dyDescent="0.25">
      <c r="A287"/>
      <c r="B287"/>
    </row>
    <row r="288" spans="1:2" x14ac:dyDescent="0.25">
      <c r="A288"/>
      <c r="B288"/>
    </row>
    <row r="289" spans="1:2" x14ac:dyDescent="0.25">
      <c r="A289"/>
      <c r="B289"/>
    </row>
    <row r="290" spans="1:2" x14ac:dyDescent="0.25">
      <c r="A290"/>
      <c r="B290"/>
    </row>
    <row r="291" spans="1:2" x14ac:dyDescent="0.25">
      <c r="A291"/>
      <c r="B291"/>
    </row>
    <row r="292" spans="1:2" x14ac:dyDescent="0.25">
      <c r="A292"/>
      <c r="B292"/>
    </row>
    <row r="293" spans="1:2" x14ac:dyDescent="0.25">
      <c r="A293"/>
      <c r="B293"/>
    </row>
    <row r="294" spans="1:2" x14ac:dyDescent="0.25">
      <c r="A294"/>
      <c r="B294"/>
    </row>
    <row r="295" spans="1:2" x14ac:dyDescent="0.25">
      <c r="A295"/>
      <c r="B295"/>
    </row>
    <row r="296" spans="1:2" x14ac:dyDescent="0.25">
      <c r="A296"/>
      <c r="B296"/>
    </row>
    <row r="297" spans="1:2" x14ac:dyDescent="0.25">
      <c r="A297"/>
      <c r="B297"/>
    </row>
    <row r="298" spans="1:2" x14ac:dyDescent="0.25">
      <c r="A298"/>
      <c r="B298"/>
    </row>
    <row r="299" spans="1:2" x14ac:dyDescent="0.25">
      <c r="A299"/>
      <c r="B299"/>
    </row>
    <row r="300" spans="1:2" x14ac:dyDescent="0.25">
      <c r="A300"/>
      <c r="B300"/>
    </row>
    <row r="301" spans="1:2" x14ac:dyDescent="0.25">
      <c r="A301"/>
      <c r="B301"/>
    </row>
    <row r="302" spans="1:2" x14ac:dyDescent="0.25">
      <c r="A302"/>
      <c r="B302"/>
    </row>
    <row r="303" spans="1:2" x14ac:dyDescent="0.25">
      <c r="A303"/>
      <c r="B303"/>
    </row>
    <row r="304" spans="1:2" x14ac:dyDescent="0.25">
      <c r="A304"/>
      <c r="B304"/>
    </row>
    <row r="305" spans="1:2" x14ac:dyDescent="0.25">
      <c r="A305"/>
      <c r="B305"/>
    </row>
    <row r="306" spans="1:2" x14ac:dyDescent="0.25">
      <c r="A306"/>
      <c r="B306"/>
    </row>
    <row r="307" spans="1:2" x14ac:dyDescent="0.25">
      <c r="A307"/>
      <c r="B307"/>
    </row>
    <row r="308" spans="1:2" x14ac:dyDescent="0.25">
      <c r="A308"/>
      <c r="B308"/>
    </row>
    <row r="309" spans="1:2" x14ac:dyDescent="0.25">
      <c r="A309"/>
      <c r="B309"/>
    </row>
    <row r="310" spans="1:2" x14ac:dyDescent="0.25">
      <c r="A310"/>
      <c r="B310"/>
    </row>
    <row r="311" spans="1:2" x14ac:dyDescent="0.25">
      <c r="A311"/>
      <c r="B311"/>
    </row>
    <row r="312" spans="1:2" x14ac:dyDescent="0.25">
      <c r="A312"/>
      <c r="B312"/>
    </row>
    <row r="313" spans="1:2" x14ac:dyDescent="0.25">
      <c r="A313"/>
      <c r="B313"/>
    </row>
    <row r="314" spans="1:2" x14ac:dyDescent="0.25">
      <c r="A314"/>
      <c r="B314"/>
    </row>
    <row r="315" spans="1:2" x14ac:dyDescent="0.25">
      <c r="A315"/>
      <c r="B315"/>
    </row>
    <row r="316" spans="1:2" x14ac:dyDescent="0.25">
      <c r="A316"/>
      <c r="B316"/>
    </row>
    <row r="317" spans="1:2" x14ac:dyDescent="0.25">
      <c r="A317"/>
      <c r="B317"/>
    </row>
    <row r="318" spans="1:2" x14ac:dyDescent="0.25">
      <c r="A318"/>
      <c r="B318"/>
    </row>
    <row r="319" spans="1:2" x14ac:dyDescent="0.25">
      <c r="A319"/>
      <c r="B319"/>
    </row>
    <row r="320" spans="1:2" x14ac:dyDescent="0.25">
      <c r="A320"/>
      <c r="B320"/>
    </row>
    <row r="321" spans="1:2" x14ac:dyDescent="0.25">
      <c r="A321"/>
      <c r="B321"/>
    </row>
    <row r="322" spans="1:2" x14ac:dyDescent="0.25">
      <c r="A322"/>
      <c r="B322"/>
    </row>
    <row r="323" spans="1:2" x14ac:dyDescent="0.25">
      <c r="A323"/>
      <c r="B323"/>
    </row>
    <row r="324" spans="1:2" x14ac:dyDescent="0.25">
      <c r="A324"/>
      <c r="B324"/>
    </row>
    <row r="325" spans="1:2" x14ac:dyDescent="0.25">
      <c r="A325"/>
      <c r="B325"/>
    </row>
    <row r="326" spans="1:2" x14ac:dyDescent="0.25">
      <c r="A326"/>
      <c r="B326"/>
    </row>
    <row r="327" spans="1:2" x14ac:dyDescent="0.25">
      <c r="A327"/>
      <c r="B327"/>
    </row>
    <row r="328" spans="1:2" x14ac:dyDescent="0.25">
      <c r="A328"/>
      <c r="B328"/>
    </row>
    <row r="329" spans="1:2" x14ac:dyDescent="0.25">
      <c r="A329"/>
      <c r="B329"/>
    </row>
    <row r="330" spans="1:2" x14ac:dyDescent="0.25">
      <c r="A330"/>
      <c r="B330"/>
    </row>
    <row r="331" spans="1:2" x14ac:dyDescent="0.25">
      <c r="A331"/>
      <c r="B331"/>
    </row>
    <row r="332" spans="1:2" x14ac:dyDescent="0.25">
      <c r="A332"/>
      <c r="B332"/>
    </row>
    <row r="333" spans="1:2" x14ac:dyDescent="0.25">
      <c r="A333"/>
      <c r="B333"/>
    </row>
    <row r="334" spans="1:2" x14ac:dyDescent="0.25">
      <c r="A334"/>
      <c r="B334"/>
    </row>
    <row r="335" spans="1:2" x14ac:dyDescent="0.25">
      <c r="A335"/>
      <c r="B335"/>
    </row>
    <row r="336" spans="1:2" x14ac:dyDescent="0.25">
      <c r="A336"/>
      <c r="B336"/>
    </row>
    <row r="337" spans="1:2" x14ac:dyDescent="0.25">
      <c r="A337"/>
      <c r="B337"/>
    </row>
    <row r="338" spans="1:2" x14ac:dyDescent="0.25">
      <c r="A338"/>
      <c r="B338"/>
    </row>
    <row r="339" spans="1:2" x14ac:dyDescent="0.25">
      <c r="A339"/>
      <c r="B339"/>
    </row>
    <row r="340" spans="1:2" x14ac:dyDescent="0.25">
      <c r="A340"/>
      <c r="B340"/>
    </row>
    <row r="341" spans="1:2" x14ac:dyDescent="0.25">
      <c r="A341"/>
      <c r="B341"/>
    </row>
    <row r="342" spans="1:2" x14ac:dyDescent="0.25">
      <c r="A342"/>
      <c r="B342"/>
    </row>
    <row r="343" spans="1:2" x14ac:dyDescent="0.25">
      <c r="A343"/>
      <c r="B343"/>
    </row>
    <row r="344" spans="1:2" x14ac:dyDescent="0.25">
      <c r="A344"/>
      <c r="B344"/>
    </row>
    <row r="345" spans="1:2" x14ac:dyDescent="0.25">
      <c r="A345"/>
      <c r="B345"/>
    </row>
    <row r="346" spans="1:2" x14ac:dyDescent="0.25">
      <c r="A346"/>
      <c r="B346"/>
    </row>
    <row r="347" spans="1:2" x14ac:dyDescent="0.25">
      <c r="A347"/>
      <c r="B347"/>
    </row>
    <row r="348" spans="1:2" x14ac:dyDescent="0.25">
      <c r="A348"/>
      <c r="B348"/>
    </row>
    <row r="349" spans="1:2" x14ac:dyDescent="0.25">
      <c r="A349"/>
      <c r="B349"/>
    </row>
    <row r="350" spans="1:2" x14ac:dyDescent="0.25">
      <c r="A350"/>
      <c r="B350"/>
    </row>
    <row r="351" spans="1:2" x14ac:dyDescent="0.25">
      <c r="A351"/>
      <c r="B351"/>
    </row>
    <row r="352" spans="1:2" x14ac:dyDescent="0.25">
      <c r="A352"/>
      <c r="B352"/>
    </row>
    <row r="353" spans="1:2" x14ac:dyDescent="0.25">
      <c r="A353"/>
      <c r="B353"/>
    </row>
    <row r="354" spans="1:2" x14ac:dyDescent="0.25">
      <c r="A354"/>
      <c r="B354"/>
    </row>
    <row r="355" spans="1:2" x14ac:dyDescent="0.25">
      <c r="A355"/>
      <c r="B355"/>
    </row>
    <row r="356" spans="1:2" x14ac:dyDescent="0.25">
      <c r="A356"/>
      <c r="B356"/>
    </row>
    <row r="357" spans="1:2" x14ac:dyDescent="0.25">
      <c r="A357"/>
      <c r="B357"/>
    </row>
    <row r="358" spans="1:2" x14ac:dyDescent="0.25">
      <c r="A358"/>
      <c r="B358"/>
    </row>
    <row r="359" spans="1:2" x14ac:dyDescent="0.25">
      <c r="A359"/>
      <c r="B359"/>
    </row>
    <row r="360" spans="1:2" x14ac:dyDescent="0.25">
      <c r="A360"/>
      <c r="B360"/>
    </row>
    <row r="361" spans="1:2" x14ac:dyDescent="0.25">
      <c r="A361"/>
      <c r="B361"/>
    </row>
    <row r="362" spans="1:2" x14ac:dyDescent="0.25">
      <c r="A362"/>
      <c r="B362"/>
    </row>
    <row r="363" spans="1:2" x14ac:dyDescent="0.25">
      <c r="A363"/>
      <c r="B363"/>
    </row>
    <row r="364" spans="1:2" x14ac:dyDescent="0.25">
      <c r="A364"/>
      <c r="B364"/>
    </row>
    <row r="365" spans="1:2" x14ac:dyDescent="0.25">
      <c r="A365"/>
      <c r="B365"/>
    </row>
    <row r="366" spans="1:2" x14ac:dyDescent="0.25">
      <c r="A366"/>
      <c r="B366"/>
    </row>
    <row r="367" spans="1:2" x14ac:dyDescent="0.25">
      <c r="A367"/>
      <c r="B367"/>
    </row>
    <row r="368" spans="1:2" x14ac:dyDescent="0.25">
      <c r="A368"/>
      <c r="B368"/>
    </row>
    <row r="369" spans="1:2" x14ac:dyDescent="0.25">
      <c r="A369"/>
      <c r="B369"/>
    </row>
    <row r="370" spans="1:2" x14ac:dyDescent="0.25">
      <c r="A370"/>
      <c r="B370"/>
    </row>
    <row r="371" spans="1:2" x14ac:dyDescent="0.25">
      <c r="A371"/>
      <c r="B371"/>
    </row>
    <row r="372" spans="1:2" x14ac:dyDescent="0.25">
      <c r="A372"/>
      <c r="B372"/>
    </row>
    <row r="373" spans="1:2" x14ac:dyDescent="0.25">
      <c r="A373"/>
      <c r="B373"/>
    </row>
    <row r="374" spans="1:2" x14ac:dyDescent="0.25">
      <c r="A374"/>
      <c r="B374"/>
    </row>
    <row r="375" spans="1:2" x14ac:dyDescent="0.25">
      <c r="A375"/>
      <c r="B375"/>
    </row>
    <row r="376" spans="1:2" x14ac:dyDescent="0.25">
      <c r="A376"/>
      <c r="B376"/>
    </row>
    <row r="377" spans="1:2" x14ac:dyDescent="0.25">
      <c r="A377"/>
      <c r="B377"/>
    </row>
    <row r="378" spans="1:2" x14ac:dyDescent="0.25">
      <c r="A378"/>
      <c r="B378"/>
    </row>
    <row r="379" spans="1:2" x14ac:dyDescent="0.25">
      <c r="A379"/>
      <c r="B379"/>
    </row>
    <row r="380" spans="1:2" x14ac:dyDescent="0.25">
      <c r="A380"/>
      <c r="B380"/>
    </row>
    <row r="381" spans="1:2" x14ac:dyDescent="0.25">
      <c r="A381"/>
      <c r="B381"/>
    </row>
    <row r="382" spans="1:2" x14ac:dyDescent="0.25">
      <c r="A382"/>
      <c r="B382"/>
    </row>
    <row r="383" spans="1:2" x14ac:dyDescent="0.25">
      <c r="A383"/>
      <c r="B383"/>
    </row>
    <row r="384" spans="1:2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x14ac:dyDescent="0.25">
      <c r="A403"/>
      <c r="B403"/>
    </row>
    <row r="404" spans="1:2" x14ac:dyDescent="0.25">
      <c r="A404"/>
      <c r="B404"/>
    </row>
    <row r="405" spans="1:2" x14ac:dyDescent="0.25">
      <c r="A405"/>
      <c r="B405"/>
    </row>
    <row r="406" spans="1:2" x14ac:dyDescent="0.25">
      <c r="A406"/>
      <c r="B406"/>
    </row>
    <row r="407" spans="1:2" x14ac:dyDescent="0.25">
      <c r="A407"/>
      <c r="B407"/>
    </row>
    <row r="408" spans="1:2" x14ac:dyDescent="0.25">
      <c r="A408"/>
      <c r="B408"/>
    </row>
    <row r="409" spans="1:2" x14ac:dyDescent="0.25">
      <c r="A409"/>
      <c r="B409"/>
    </row>
    <row r="410" spans="1:2" x14ac:dyDescent="0.25">
      <c r="A410"/>
      <c r="B410"/>
    </row>
    <row r="411" spans="1:2" x14ac:dyDescent="0.25">
      <c r="A411"/>
      <c r="B411"/>
    </row>
    <row r="412" spans="1:2" x14ac:dyDescent="0.25">
      <c r="A412"/>
      <c r="B412"/>
    </row>
    <row r="413" spans="1:2" x14ac:dyDescent="0.25">
      <c r="A413"/>
      <c r="B413"/>
    </row>
    <row r="414" spans="1:2" x14ac:dyDescent="0.25">
      <c r="A414"/>
      <c r="B414"/>
    </row>
    <row r="415" spans="1:2" x14ac:dyDescent="0.25">
      <c r="A415"/>
      <c r="B415"/>
    </row>
    <row r="416" spans="1:2" x14ac:dyDescent="0.25">
      <c r="A416"/>
      <c r="B416"/>
    </row>
    <row r="417" spans="1:2" x14ac:dyDescent="0.25">
      <c r="A417"/>
      <c r="B417"/>
    </row>
    <row r="418" spans="1:2" x14ac:dyDescent="0.25">
      <c r="A418"/>
      <c r="B418"/>
    </row>
    <row r="419" spans="1:2" x14ac:dyDescent="0.25">
      <c r="A419"/>
      <c r="B419"/>
    </row>
    <row r="420" spans="1:2" x14ac:dyDescent="0.25">
      <c r="A420"/>
      <c r="B420"/>
    </row>
    <row r="421" spans="1:2" x14ac:dyDescent="0.25">
      <c r="A421"/>
      <c r="B421"/>
    </row>
    <row r="422" spans="1:2" x14ac:dyDescent="0.25">
      <c r="A422"/>
      <c r="B422"/>
    </row>
    <row r="423" spans="1:2" x14ac:dyDescent="0.25">
      <c r="A423"/>
      <c r="B423"/>
    </row>
    <row r="424" spans="1:2" x14ac:dyDescent="0.25">
      <c r="A424"/>
      <c r="B424"/>
    </row>
    <row r="425" spans="1:2" x14ac:dyDescent="0.25">
      <c r="A425"/>
      <c r="B425"/>
    </row>
    <row r="426" spans="1:2" x14ac:dyDescent="0.25">
      <c r="A426"/>
      <c r="B426"/>
    </row>
    <row r="427" spans="1:2" x14ac:dyDescent="0.25">
      <c r="A427"/>
      <c r="B427"/>
    </row>
    <row r="428" spans="1:2" x14ac:dyDescent="0.25">
      <c r="A428"/>
      <c r="B428"/>
    </row>
    <row r="429" spans="1:2" x14ac:dyDescent="0.25">
      <c r="A429"/>
      <c r="B429"/>
    </row>
    <row r="430" spans="1:2" x14ac:dyDescent="0.25">
      <c r="A430"/>
      <c r="B430"/>
    </row>
    <row r="431" spans="1:2" x14ac:dyDescent="0.25">
      <c r="A431"/>
      <c r="B431"/>
    </row>
    <row r="432" spans="1:2" x14ac:dyDescent="0.25">
      <c r="A432"/>
      <c r="B432"/>
    </row>
    <row r="433" spans="1:2" x14ac:dyDescent="0.25">
      <c r="A433"/>
      <c r="B433"/>
    </row>
    <row r="434" spans="1:2" x14ac:dyDescent="0.25">
      <c r="A434"/>
      <c r="B434"/>
    </row>
    <row r="435" spans="1:2" x14ac:dyDescent="0.25">
      <c r="A435"/>
      <c r="B435"/>
    </row>
    <row r="436" spans="1:2" x14ac:dyDescent="0.25">
      <c r="A436"/>
      <c r="B436"/>
    </row>
    <row r="437" spans="1:2" x14ac:dyDescent="0.25">
      <c r="A437"/>
      <c r="B437"/>
    </row>
    <row r="438" spans="1:2" x14ac:dyDescent="0.25">
      <c r="A438"/>
      <c r="B438"/>
    </row>
    <row r="439" spans="1:2" x14ac:dyDescent="0.25">
      <c r="A439"/>
      <c r="B439"/>
    </row>
    <row r="440" spans="1:2" x14ac:dyDescent="0.25">
      <c r="A440"/>
      <c r="B440"/>
    </row>
    <row r="441" spans="1:2" x14ac:dyDescent="0.25">
      <c r="A441"/>
      <c r="B441"/>
    </row>
    <row r="442" spans="1:2" x14ac:dyDescent="0.25">
      <c r="A442"/>
      <c r="B442"/>
    </row>
    <row r="443" spans="1:2" x14ac:dyDescent="0.25">
      <c r="A443"/>
      <c r="B443"/>
    </row>
    <row r="444" spans="1:2" x14ac:dyDescent="0.25">
      <c r="A444"/>
      <c r="B444"/>
    </row>
    <row r="445" spans="1:2" x14ac:dyDescent="0.25">
      <c r="A445"/>
      <c r="B445"/>
    </row>
    <row r="446" spans="1:2" x14ac:dyDescent="0.25">
      <c r="A446"/>
      <c r="B446"/>
    </row>
    <row r="447" spans="1:2" x14ac:dyDescent="0.25">
      <c r="A447"/>
      <c r="B447"/>
    </row>
    <row r="448" spans="1:2" x14ac:dyDescent="0.25">
      <c r="A448"/>
      <c r="B448"/>
    </row>
    <row r="449" spans="1:2" x14ac:dyDescent="0.25">
      <c r="A449"/>
      <c r="B449"/>
    </row>
    <row r="450" spans="1:2" x14ac:dyDescent="0.25">
      <c r="A450"/>
      <c r="B450"/>
    </row>
    <row r="451" spans="1:2" x14ac:dyDescent="0.25">
      <c r="A451"/>
      <c r="B451"/>
    </row>
    <row r="452" spans="1:2" x14ac:dyDescent="0.25">
      <c r="A452"/>
      <c r="B452"/>
    </row>
    <row r="453" spans="1:2" x14ac:dyDescent="0.25">
      <c r="A453"/>
      <c r="B453"/>
    </row>
    <row r="454" spans="1:2" x14ac:dyDescent="0.25">
      <c r="A454"/>
      <c r="B454"/>
    </row>
    <row r="455" spans="1:2" x14ac:dyDescent="0.25">
      <c r="A455"/>
      <c r="B455"/>
    </row>
    <row r="456" spans="1:2" x14ac:dyDescent="0.25">
      <c r="A456"/>
      <c r="B456"/>
    </row>
    <row r="457" spans="1:2" x14ac:dyDescent="0.25">
      <c r="A457"/>
      <c r="B457"/>
    </row>
    <row r="458" spans="1:2" x14ac:dyDescent="0.25">
      <c r="A458"/>
      <c r="B458"/>
    </row>
    <row r="459" spans="1:2" x14ac:dyDescent="0.25">
      <c r="A459"/>
      <c r="B459"/>
    </row>
    <row r="460" spans="1:2" x14ac:dyDescent="0.25">
      <c r="A460"/>
      <c r="B460"/>
    </row>
    <row r="461" spans="1:2" x14ac:dyDescent="0.25">
      <c r="A461"/>
      <c r="B461"/>
    </row>
    <row r="462" spans="1:2" x14ac:dyDescent="0.25">
      <c r="A462"/>
      <c r="B462"/>
    </row>
    <row r="463" spans="1:2" x14ac:dyDescent="0.25">
      <c r="A463"/>
      <c r="B463"/>
    </row>
    <row r="464" spans="1:2" x14ac:dyDescent="0.25">
      <c r="A464"/>
      <c r="B464"/>
    </row>
    <row r="465" spans="1:2" x14ac:dyDescent="0.25">
      <c r="A465"/>
      <c r="B465"/>
    </row>
    <row r="466" spans="1:2" x14ac:dyDescent="0.25">
      <c r="A466"/>
      <c r="B466"/>
    </row>
    <row r="467" spans="1:2" x14ac:dyDescent="0.25">
      <c r="A467"/>
      <c r="B467"/>
    </row>
    <row r="468" spans="1:2" x14ac:dyDescent="0.25">
      <c r="A468"/>
      <c r="B468"/>
    </row>
    <row r="469" spans="1:2" x14ac:dyDescent="0.25">
      <c r="A469"/>
      <c r="B469"/>
    </row>
    <row r="470" spans="1:2" x14ac:dyDescent="0.25">
      <c r="A470"/>
      <c r="B470"/>
    </row>
    <row r="471" spans="1:2" x14ac:dyDescent="0.25">
      <c r="A471"/>
      <c r="B471"/>
    </row>
    <row r="472" spans="1:2" x14ac:dyDescent="0.25">
      <c r="A472"/>
      <c r="B472"/>
    </row>
    <row r="473" spans="1:2" x14ac:dyDescent="0.25">
      <c r="A473"/>
      <c r="B473"/>
    </row>
    <row r="474" spans="1:2" x14ac:dyDescent="0.25">
      <c r="A474"/>
      <c r="B474"/>
    </row>
    <row r="475" spans="1:2" x14ac:dyDescent="0.25">
      <c r="A475"/>
      <c r="B475"/>
    </row>
    <row r="476" spans="1:2" x14ac:dyDescent="0.25">
      <c r="A476"/>
      <c r="B476"/>
    </row>
    <row r="477" spans="1:2" x14ac:dyDescent="0.25">
      <c r="A477"/>
      <c r="B477"/>
    </row>
    <row r="478" spans="1:2" x14ac:dyDescent="0.25">
      <c r="A478"/>
      <c r="B478"/>
    </row>
    <row r="479" spans="1:2" x14ac:dyDescent="0.25">
      <c r="A479"/>
      <c r="B479"/>
    </row>
    <row r="480" spans="1:2" x14ac:dyDescent="0.25">
      <c r="A480"/>
      <c r="B480"/>
    </row>
    <row r="481" spans="1:2" x14ac:dyDescent="0.25">
      <c r="A481"/>
      <c r="B481"/>
    </row>
    <row r="482" spans="1:2" x14ac:dyDescent="0.25">
      <c r="A482"/>
      <c r="B482"/>
    </row>
    <row r="483" spans="1:2" x14ac:dyDescent="0.25">
      <c r="A483"/>
      <c r="B483"/>
    </row>
    <row r="484" spans="1:2" x14ac:dyDescent="0.25">
      <c r="A484"/>
      <c r="B484"/>
    </row>
    <row r="485" spans="1:2" x14ac:dyDescent="0.25">
      <c r="A485"/>
      <c r="B485"/>
    </row>
    <row r="486" spans="1:2" x14ac:dyDescent="0.25">
      <c r="A486"/>
      <c r="B486"/>
    </row>
    <row r="487" spans="1:2" x14ac:dyDescent="0.25">
      <c r="A487"/>
      <c r="B487"/>
    </row>
    <row r="488" spans="1:2" x14ac:dyDescent="0.25">
      <c r="A488"/>
      <c r="B488"/>
    </row>
    <row r="489" spans="1:2" x14ac:dyDescent="0.25">
      <c r="A489"/>
      <c r="B489"/>
    </row>
    <row r="490" spans="1:2" x14ac:dyDescent="0.25">
      <c r="A490"/>
      <c r="B490"/>
    </row>
    <row r="491" spans="1:2" x14ac:dyDescent="0.25">
      <c r="A491"/>
      <c r="B491"/>
    </row>
    <row r="492" spans="1:2" x14ac:dyDescent="0.25">
      <c r="A492"/>
      <c r="B492"/>
    </row>
    <row r="493" spans="1:2" x14ac:dyDescent="0.25">
      <c r="A493"/>
      <c r="B493"/>
    </row>
    <row r="494" spans="1:2" x14ac:dyDescent="0.25">
      <c r="A494"/>
      <c r="B494"/>
    </row>
    <row r="495" spans="1:2" x14ac:dyDescent="0.25">
      <c r="A495"/>
      <c r="B495"/>
    </row>
    <row r="496" spans="1:2" x14ac:dyDescent="0.25">
      <c r="A496"/>
      <c r="B496"/>
    </row>
    <row r="497" spans="1:2" x14ac:dyDescent="0.25">
      <c r="A497"/>
      <c r="B497"/>
    </row>
    <row r="498" spans="1:2" x14ac:dyDescent="0.25">
      <c r="A498"/>
      <c r="B498"/>
    </row>
    <row r="499" spans="1:2" x14ac:dyDescent="0.25">
      <c r="A499"/>
      <c r="B499"/>
    </row>
    <row r="500" spans="1:2" x14ac:dyDescent="0.25">
      <c r="A500"/>
      <c r="B500"/>
    </row>
    <row r="501" spans="1:2" x14ac:dyDescent="0.25">
      <c r="A501"/>
      <c r="B501"/>
    </row>
    <row r="502" spans="1:2" x14ac:dyDescent="0.25">
      <c r="A502"/>
      <c r="B502"/>
    </row>
    <row r="503" spans="1:2" x14ac:dyDescent="0.25">
      <c r="A503"/>
      <c r="B503"/>
    </row>
    <row r="504" spans="1:2" x14ac:dyDescent="0.25">
      <c r="A504"/>
      <c r="B504"/>
    </row>
    <row r="505" spans="1:2" x14ac:dyDescent="0.25">
      <c r="A505"/>
      <c r="B505"/>
    </row>
    <row r="506" spans="1:2" x14ac:dyDescent="0.25">
      <c r="A506"/>
      <c r="B506"/>
    </row>
    <row r="507" spans="1:2" x14ac:dyDescent="0.25">
      <c r="A507"/>
      <c r="B507"/>
    </row>
    <row r="508" spans="1:2" x14ac:dyDescent="0.25">
      <c r="A508"/>
      <c r="B508"/>
    </row>
    <row r="509" spans="1:2" x14ac:dyDescent="0.25">
      <c r="A509"/>
      <c r="B509"/>
    </row>
    <row r="510" spans="1:2" x14ac:dyDescent="0.25">
      <c r="A510"/>
      <c r="B510"/>
    </row>
    <row r="511" spans="1:2" x14ac:dyDescent="0.25">
      <c r="A511"/>
      <c r="B511"/>
    </row>
    <row r="512" spans="1:2" x14ac:dyDescent="0.25">
      <c r="A512"/>
      <c r="B512"/>
    </row>
    <row r="513" spans="1:2" x14ac:dyDescent="0.25">
      <c r="A513"/>
      <c r="B513"/>
    </row>
    <row r="514" spans="1:2" x14ac:dyDescent="0.25">
      <c r="A514"/>
      <c r="B514"/>
    </row>
    <row r="515" spans="1:2" x14ac:dyDescent="0.25">
      <c r="A515"/>
      <c r="B515"/>
    </row>
    <row r="516" spans="1:2" x14ac:dyDescent="0.25">
      <c r="A516"/>
      <c r="B516"/>
    </row>
    <row r="517" spans="1:2" x14ac:dyDescent="0.25">
      <c r="A517"/>
      <c r="B517"/>
    </row>
    <row r="518" spans="1:2" x14ac:dyDescent="0.25">
      <c r="A518"/>
      <c r="B518"/>
    </row>
    <row r="519" spans="1:2" x14ac:dyDescent="0.25">
      <c r="A519"/>
      <c r="B519"/>
    </row>
    <row r="520" spans="1:2" x14ac:dyDescent="0.25">
      <c r="A520"/>
      <c r="B520"/>
    </row>
    <row r="521" spans="1:2" x14ac:dyDescent="0.25">
      <c r="A521"/>
      <c r="B521"/>
    </row>
    <row r="522" spans="1:2" x14ac:dyDescent="0.25">
      <c r="A522"/>
      <c r="B522"/>
    </row>
    <row r="523" spans="1:2" x14ac:dyDescent="0.25">
      <c r="A523"/>
      <c r="B523"/>
    </row>
    <row r="524" spans="1:2" x14ac:dyDescent="0.25">
      <c r="A524"/>
      <c r="B524"/>
    </row>
    <row r="525" spans="1:2" x14ac:dyDescent="0.25">
      <c r="A525"/>
      <c r="B525"/>
    </row>
    <row r="526" spans="1:2" x14ac:dyDescent="0.25">
      <c r="A526"/>
      <c r="B526"/>
    </row>
    <row r="527" spans="1:2" x14ac:dyDescent="0.25">
      <c r="A527"/>
      <c r="B527"/>
    </row>
    <row r="528" spans="1:2" x14ac:dyDescent="0.25">
      <c r="A528"/>
      <c r="B528"/>
    </row>
    <row r="529" spans="1:2" x14ac:dyDescent="0.25">
      <c r="A529"/>
      <c r="B529"/>
    </row>
    <row r="530" spans="1:2" x14ac:dyDescent="0.25">
      <c r="A530"/>
      <c r="B530"/>
    </row>
    <row r="531" spans="1:2" x14ac:dyDescent="0.25">
      <c r="A531"/>
      <c r="B531"/>
    </row>
    <row r="532" spans="1:2" x14ac:dyDescent="0.25">
      <c r="A532"/>
      <c r="B532"/>
    </row>
    <row r="533" spans="1:2" x14ac:dyDescent="0.25">
      <c r="A533"/>
      <c r="B533"/>
    </row>
    <row r="534" spans="1:2" x14ac:dyDescent="0.25">
      <c r="A534"/>
      <c r="B534"/>
    </row>
    <row r="535" spans="1:2" x14ac:dyDescent="0.25">
      <c r="A535"/>
      <c r="B535"/>
    </row>
    <row r="536" spans="1:2" x14ac:dyDescent="0.25">
      <c r="A536"/>
      <c r="B536"/>
    </row>
    <row r="537" spans="1:2" x14ac:dyDescent="0.25">
      <c r="A537"/>
      <c r="B537"/>
    </row>
    <row r="538" spans="1:2" x14ac:dyDescent="0.25">
      <c r="A538"/>
      <c r="B538"/>
    </row>
    <row r="539" spans="1:2" x14ac:dyDescent="0.25">
      <c r="A539"/>
      <c r="B539"/>
    </row>
    <row r="540" spans="1:2" x14ac:dyDescent="0.25">
      <c r="A540"/>
      <c r="B540"/>
    </row>
    <row r="541" spans="1:2" x14ac:dyDescent="0.25">
      <c r="A541"/>
      <c r="B541"/>
    </row>
    <row r="542" spans="1:2" x14ac:dyDescent="0.25">
      <c r="A542"/>
      <c r="B542"/>
    </row>
    <row r="543" spans="1:2" x14ac:dyDescent="0.25">
      <c r="A543"/>
      <c r="B543"/>
    </row>
    <row r="544" spans="1:2" x14ac:dyDescent="0.25">
      <c r="A544"/>
      <c r="B544"/>
    </row>
    <row r="545" spans="1:2" x14ac:dyDescent="0.25">
      <c r="A545"/>
      <c r="B545"/>
    </row>
    <row r="546" spans="1:2" x14ac:dyDescent="0.25">
      <c r="A546"/>
      <c r="B546"/>
    </row>
    <row r="547" spans="1:2" x14ac:dyDescent="0.25">
      <c r="A547"/>
      <c r="B547"/>
    </row>
    <row r="548" spans="1:2" x14ac:dyDescent="0.25">
      <c r="A548"/>
      <c r="B548"/>
    </row>
    <row r="549" spans="1:2" x14ac:dyDescent="0.25">
      <c r="A549"/>
      <c r="B549"/>
    </row>
    <row r="550" spans="1:2" x14ac:dyDescent="0.25">
      <c r="A550"/>
      <c r="B550"/>
    </row>
    <row r="551" spans="1:2" x14ac:dyDescent="0.25">
      <c r="A551"/>
      <c r="B551"/>
    </row>
    <row r="552" spans="1:2" x14ac:dyDescent="0.25">
      <c r="A552"/>
      <c r="B552"/>
    </row>
    <row r="553" spans="1:2" x14ac:dyDescent="0.25">
      <c r="A553"/>
      <c r="B553"/>
    </row>
    <row r="554" spans="1:2" x14ac:dyDescent="0.25">
      <c r="A554"/>
      <c r="B554"/>
    </row>
    <row r="555" spans="1:2" x14ac:dyDescent="0.25">
      <c r="A555"/>
      <c r="B555"/>
    </row>
    <row r="556" spans="1:2" x14ac:dyDescent="0.25">
      <c r="A556"/>
      <c r="B556"/>
    </row>
    <row r="557" spans="1:2" x14ac:dyDescent="0.25">
      <c r="A557"/>
      <c r="B557"/>
    </row>
    <row r="558" spans="1:2" x14ac:dyDescent="0.25">
      <c r="A558"/>
      <c r="B558"/>
    </row>
    <row r="559" spans="1:2" x14ac:dyDescent="0.25">
      <c r="A559"/>
      <c r="B559"/>
    </row>
    <row r="560" spans="1:2" x14ac:dyDescent="0.25">
      <c r="A560"/>
      <c r="B560"/>
    </row>
    <row r="561" spans="1:2" x14ac:dyDescent="0.25">
      <c r="A561"/>
      <c r="B561"/>
    </row>
    <row r="562" spans="1:2" x14ac:dyDescent="0.25">
      <c r="A562"/>
      <c r="B562"/>
    </row>
    <row r="563" spans="1:2" x14ac:dyDescent="0.25">
      <c r="A563"/>
      <c r="B563"/>
    </row>
    <row r="564" spans="1:2" x14ac:dyDescent="0.25">
      <c r="A564"/>
      <c r="B564"/>
    </row>
    <row r="565" spans="1:2" x14ac:dyDescent="0.25">
      <c r="A565"/>
      <c r="B565"/>
    </row>
    <row r="566" spans="1:2" x14ac:dyDescent="0.25">
      <c r="A566"/>
      <c r="B566"/>
    </row>
    <row r="567" spans="1:2" x14ac:dyDescent="0.25">
      <c r="A567"/>
      <c r="B567"/>
    </row>
    <row r="568" spans="1:2" x14ac:dyDescent="0.25">
      <c r="A568"/>
      <c r="B568"/>
    </row>
    <row r="569" spans="1:2" x14ac:dyDescent="0.25">
      <c r="A569"/>
      <c r="B569"/>
    </row>
    <row r="570" spans="1:2" x14ac:dyDescent="0.25">
      <c r="A570"/>
      <c r="B570"/>
    </row>
    <row r="571" spans="1:2" x14ac:dyDescent="0.25">
      <c r="A571"/>
      <c r="B571"/>
    </row>
    <row r="572" spans="1:2" x14ac:dyDescent="0.25">
      <c r="A572"/>
      <c r="B572"/>
    </row>
    <row r="573" spans="1:2" x14ac:dyDescent="0.25">
      <c r="A573"/>
      <c r="B573"/>
    </row>
    <row r="574" spans="1:2" x14ac:dyDescent="0.25">
      <c r="A574"/>
      <c r="B574"/>
    </row>
    <row r="575" spans="1:2" x14ac:dyDescent="0.25">
      <c r="A575"/>
      <c r="B575"/>
    </row>
    <row r="576" spans="1:2" x14ac:dyDescent="0.25">
      <c r="A576"/>
      <c r="B576"/>
    </row>
    <row r="577" spans="1:2" x14ac:dyDescent="0.25">
      <c r="A577"/>
      <c r="B577"/>
    </row>
    <row r="578" spans="1:2" x14ac:dyDescent="0.25">
      <c r="A578"/>
      <c r="B578"/>
    </row>
    <row r="579" spans="1:2" x14ac:dyDescent="0.25">
      <c r="A579"/>
      <c r="B579"/>
    </row>
    <row r="580" spans="1:2" x14ac:dyDescent="0.25">
      <c r="A580"/>
      <c r="B580"/>
    </row>
    <row r="581" spans="1:2" x14ac:dyDescent="0.25">
      <c r="A581"/>
      <c r="B581"/>
    </row>
    <row r="582" spans="1:2" x14ac:dyDescent="0.25">
      <c r="A582"/>
      <c r="B582"/>
    </row>
    <row r="583" spans="1:2" x14ac:dyDescent="0.25">
      <c r="A583"/>
      <c r="B583"/>
    </row>
    <row r="584" spans="1:2" x14ac:dyDescent="0.25">
      <c r="A584"/>
      <c r="B584"/>
    </row>
    <row r="585" spans="1:2" x14ac:dyDescent="0.25">
      <c r="A585"/>
      <c r="B585"/>
    </row>
    <row r="586" spans="1:2" x14ac:dyDescent="0.25">
      <c r="A586"/>
      <c r="B586"/>
    </row>
    <row r="587" spans="1:2" x14ac:dyDescent="0.25">
      <c r="A587"/>
      <c r="B587"/>
    </row>
    <row r="588" spans="1:2" x14ac:dyDescent="0.25">
      <c r="A588"/>
      <c r="B588"/>
    </row>
    <row r="589" spans="1:2" x14ac:dyDescent="0.25">
      <c r="A589"/>
      <c r="B589"/>
    </row>
    <row r="590" spans="1:2" x14ac:dyDescent="0.25">
      <c r="A590"/>
      <c r="B590"/>
    </row>
    <row r="591" spans="1:2" x14ac:dyDescent="0.25">
      <c r="A591"/>
      <c r="B591"/>
    </row>
    <row r="592" spans="1:2" x14ac:dyDescent="0.25">
      <c r="A592"/>
      <c r="B592"/>
    </row>
    <row r="593" spans="1:2" x14ac:dyDescent="0.25">
      <c r="A593"/>
      <c r="B593"/>
    </row>
    <row r="594" spans="1:2" x14ac:dyDescent="0.25">
      <c r="A594"/>
      <c r="B594"/>
    </row>
    <row r="595" spans="1:2" x14ac:dyDescent="0.25">
      <c r="A595"/>
      <c r="B595"/>
    </row>
    <row r="596" spans="1:2" x14ac:dyDescent="0.25">
      <c r="A596"/>
      <c r="B596"/>
    </row>
    <row r="597" spans="1:2" x14ac:dyDescent="0.25">
      <c r="A597"/>
      <c r="B597"/>
    </row>
    <row r="598" spans="1:2" x14ac:dyDescent="0.25">
      <c r="A598"/>
      <c r="B598"/>
    </row>
    <row r="599" spans="1:2" x14ac:dyDescent="0.25">
      <c r="A599"/>
      <c r="B599"/>
    </row>
    <row r="600" spans="1:2" x14ac:dyDescent="0.25">
      <c r="A600"/>
      <c r="B600"/>
    </row>
    <row r="601" spans="1:2" x14ac:dyDescent="0.25">
      <c r="A601"/>
      <c r="B601"/>
    </row>
    <row r="602" spans="1:2" x14ac:dyDescent="0.25">
      <c r="A602"/>
      <c r="B602"/>
    </row>
    <row r="603" spans="1:2" x14ac:dyDescent="0.25">
      <c r="A603"/>
      <c r="B603"/>
    </row>
    <row r="604" spans="1:2" x14ac:dyDescent="0.25">
      <c r="A604"/>
      <c r="B604"/>
    </row>
    <row r="605" spans="1:2" x14ac:dyDescent="0.25">
      <c r="A605"/>
      <c r="B605"/>
    </row>
    <row r="606" spans="1:2" x14ac:dyDescent="0.25">
      <c r="A606"/>
      <c r="B606"/>
    </row>
    <row r="607" spans="1:2" x14ac:dyDescent="0.25">
      <c r="A607"/>
      <c r="B607"/>
    </row>
    <row r="608" spans="1:2" x14ac:dyDescent="0.25">
      <c r="A608"/>
      <c r="B608"/>
    </row>
    <row r="609" spans="1:2" x14ac:dyDescent="0.25">
      <c r="A609"/>
      <c r="B609"/>
    </row>
    <row r="610" spans="1:2" x14ac:dyDescent="0.25">
      <c r="A610"/>
      <c r="B610"/>
    </row>
    <row r="611" spans="1:2" x14ac:dyDescent="0.25">
      <c r="A611"/>
      <c r="B611"/>
    </row>
    <row r="612" spans="1:2" x14ac:dyDescent="0.25">
      <c r="A612"/>
      <c r="B612"/>
    </row>
    <row r="613" spans="1:2" x14ac:dyDescent="0.25">
      <c r="A613"/>
      <c r="B613"/>
    </row>
    <row r="614" spans="1:2" x14ac:dyDescent="0.25">
      <c r="A614"/>
      <c r="B614"/>
    </row>
    <row r="615" spans="1:2" x14ac:dyDescent="0.25">
      <c r="A615"/>
      <c r="B615"/>
    </row>
    <row r="616" spans="1:2" x14ac:dyDescent="0.25">
      <c r="A616"/>
      <c r="B616"/>
    </row>
    <row r="617" spans="1:2" x14ac:dyDescent="0.25">
      <c r="A617"/>
      <c r="B617"/>
    </row>
    <row r="618" spans="1:2" x14ac:dyDescent="0.25">
      <c r="A618"/>
      <c r="B618"/>
    </row>
    <row r="619" spans="1:2" x14ac:dyDescent="0.25">
      <c r="A619"/>
      <c r="B619"/>
    </row>
    <row r="620" spans="1:2" x14ac:dyDescent="0.25">
      <c r="A620"/>
      <c r="B620"/>
    </row>
    <row r="621" spans="1:2" x14ac:dyDescent="0.25">
      <c r="A621"/>
      <c r="B621"/>
    </row>
    <row r="622" spans="1:2" x14ac:dyDescent="0.25">
      <c r="A622"/>
      <c r="B622"/>
    </row>
    <row r="623" spans="1:2" x14ac:dyDescent="0.25">
      <c r="A623"/>
      <c r="B623"/>
    </row>
    <row r="624" spans="1:2" x14ac:dyDescent="0.25">
      <c r="A624"/>
      <c r="B624"/>
    </row>
    <row r="625" spans="1:2" x14ac:dyDescent="0.25">
      <c r="A625"/>
      <c r="B625"/>
    </row>
    <row r="626" spans="1:2" x14ac:dyDescent="0.25">
      <c r="A626"/>
      <c r="B626"/>
    </row>
    <row r="627" spans="1:2" x14ac:dyDescent="0.25">
      <c r="A627"/>
      <c r="B627"/>
    </row>
    <row r="628" spans="1:2" x14ac:dyDescent="0.25">
      <c r="A628"/>
      <c r="B628"/>
    </row>
    <row r="629" spans="1:2" x14ac:dyDescent="0.25">
      <c r="A629"/>
      <c r="B629"/>
    </row>
    <row r="630" spans="1:2" x14ac:dyDescent="0.25">
      <c r="A630"/>
      <c r="B630"/>
    </row>
    <row r="631" spans="1:2" x14ac:dyDescent="0.25">
      <c r="A631"/>
      <c r="B631"/>
    </row>
    <row r="632" spans="1:2" x14ac:dyDescent="0.25">
      <c r="A632"/>
      <c r="B632"/>
    </row>
    <row r="633" spans="1:2" x14ac:dyDescent="0.25">
      <c r="A633"/>
      <c r="B633"/>
    </row>
    <row r="634" spans="1:2" x14ac:dyDescent="0.25">
      <c r="A634"/>
      <c r="B634"/>
    </row>
    <row r="635" spans="1:2" x14ac:dyDescent="0.25">
      <c r="A635"/>
      <c r="B635"/>
    </row>
    <row r="636" spans="1:2" x14ac:dyDescent="0.25">
      <c r="A636"/>
      <c r="B636"/>
    </row>
    <row r="637" spans="1:2" x14ac:dyDescent="0.25">
      <c r="A637"/>
      <c r="B637"/>
    </row>
    <row r="638" spans="1:2" x14ac:dyDescent="0.25">
      <c r="A638"/>
      <c r="B638"/>
    </row>
    <row r="639" spans="1:2" x14ac:dyDescent="0.25">
      <c r="A639"/>
      <c r="B639"/>
    </row>
    <row r="640" spans="1:2" x14ac:dyDescent="0.25">
      <c r="A640"/>
      <c r="B640"/>
    </row>
    <row r="641" spans="1:2" x14ac:dyDescent="0.25">
      <c r="A641"/>
      <c r="B641"/>
    </row>
    <row r="642" spans="1:2" x14ac:dyDescent="0.25">
      <c r="A642"/>
      <c r="B642"/>
    </row>
    <row r="643" spans="1:2" x14ac:dyDescent="0.25">
      <c r="A643"/>
      <c r="B643"/>
    </row>
    <row r="644" spans="1:2" x14ac:dyDescent="0.25">
      <c r="A644"/>
      <c r="B644"/>
    </row>
    <row r="645" spans="1:2" x14ac:dyDescent="0.25">
      <c r="A645"/>
      <c r="B645"/>
    </row>
    <row r="646" spans="1:2" x14ac:dyDescent="0.25">
      <c r="A646"/>
      <c r="B646"/>
    </row>
    <row r="647" spans="1:2" x14ac:dyDescent="0.25">
      <c r="A647"/>
      <c r="B647"/>
    </row>
    <row r="648" spans="1:2" x14ac:dyDescent="0.25">
      <c r="A648"/>
      <c r="B648"/>
    </row>
    <row r="649" spans="1:2" x14ac:dyDescent="0.25">
      <c r="A649"/>
      <c r="B649"/>
    </row>
    <row r="650" spans="1:2" x14ac:dyDescent="0.25">
      <c r="A650"/>
      <c r="B650"/>
    </row>
    <row r="651" spans="1:2" x14ac:dyDescent="0.25">
      <c r="A651"/>
      <c r="B651"/>
    </row>
    <row r="652" spans="1:2" x14ac:dyDescent="0.25">
      <c r="A652"/>
      <c r="B652"/>
    </row>
    <row r="653" spans="1:2" x14ac:dyDescent="0.25">
      <c r="A653"/>
      <c r="B653"/>
    </row>
    <row r="654" spans="1:2" x14ac:dyDescent="0.25">
      <c r="A654"/>
      <c r="B654"/>
    </row>
    <row r="655" spans="1:2" x14ac:dyDescent="0.25">
      <c r="A655"/>
      <c r="B655"/>
    </row>
    <row r="656" spans="1:2" x14ac:dyDescent="0.25">
      <c r="A656"/>
      <c r="B656"/>
    </row>
    <row r="657" spans="1:2" x14ac:dyDescent="0.25">
      <c r="A657"/>
      <c r="B657"/>
    </row>
    <row r="658" spans="1:2" x14ac:dyDescent="0.25">
      <c r="A658"/>
      <c r="B658"/>
    </row>
    <row r="659" spans="1:2" x14ac:dyDescent="0.25">
      <c r="A659"/>
      <c r="B659"/>
    </row>
    <row r="660" spans="1:2" x14ac:dyDescent="0.25">
      <c r="A660"/>
      <c r="B660"/>
    </row>
    <row r="661" spans="1:2" x14ac:dyDescent="0.25">
      <c r="A661"/>
      <c r="B661"/>
    </row>
    <row r="662" spans="1:2" x14ac:dyDescent="0.25">
      <c r="A662"/>
      <c r="B662"/>
    </row>
    <row r="663" spans="1:2" x14ac:dyDescent="0.25">
      <c r="A663"/>
      <c r="B663"/>
    </row>
    <row r="664" spans="1:2" x14ac:dyDescent="0.25">
      <c r="A664"/>
      <c r="B664"/>
    </row>
    <row r="665" spans="1:2" x14ac:dyDescent="0.25">
      <c r="A665"/>
      <c r="B665"/>
    </row>
    <row r="666" spans="1:2" x14ac:dyDescent="0.25">
      <c r="A666"/>
      <c r="B666"/>
    </row>
    <row r="667" spans="1:2" x14ac:dyDescent="0.25">
      <c r="A667"/>
      <c r="B667"/>
    </row>
    <row r="668" spans="1:2" x14ac:dyDescent="0.25">
      <c r="A668"/>
      <c r="B668"/>
    </row>
    <row r="669" spans="1:2" x14ac:dyDescent="0.25">
      <c r="A669"/>
      <c r="B669"/>
    </row>
    <row r="670" spans="1:2" x14ac:dyDescent="0.25">
      <c r="A670"/>
      <c r="B670"/>
    </row>
    <row r="671" spans="1:2" x14ac:dyDescent="0.25">
      <c r="A671"/>
      <c r="B671"/>
    </row>
    <row r="672" spans="1:2" x14ac:dyDescent="0.25">
      <c r="A672"/>
      <c r="B672"/>
    </row>
    <row r="673" spans="1:2" x14ac:dyDescent="0.25">
      <c r="A673"/>
      <c r="B673"/>
    </row>
    <row r="674" spans="1:2" x14ac:dyDescent="0.25">
      <c r="A674"/>
      <c r="B674"/>
    </row>
    <row r="675" spans="1:2" x14ac:dyDescent="0.25">
      <c r="A675"/>
      <c r="B675"/>
    </row>
    <row r="676" spans="1:2" x14ac:dyDescent="0.25">
      <c r="A676"/>
      <c r="B676"/>
    </row>
    <row r="677" spans="1:2" x14ac:dyDescent="0.25">
      <c r="A677"/>
      <c r="B677"/>
    </row>
    <row r="678" spans="1:2" x14ac:dyDescent="0.25">
      <c r="A678"/>
      <c r="B678"/>
    </row>
    <row r="679" spans="1:2" x14ac:dyDescent="0.25">
      <c r="A679"/>
      <c r="B679"/>
    </row>
    <row r="680" spans="1:2" x14ac:dyDescent="0.25">
      <c r="A680"/>
      <c r="B680"/>
    </row>
    <row r="681" spans="1:2" x14ac:dyDescent="0.25">
      <c r="A681"/>
      <c r="B681"/>
    </row>
    <row r="682" spans="1:2" x14ac:dyDescent="0.25">
      <c r="A682"/>
      <c r="B682"/>
    </row>
    <row r="683" spans="1:2" x14ac:dyDescent="0.25">
      <c r="A683"/>
      <c r="B683"/>
    </row>
    <row r="684" spans="1:2" x14ac:dyDescent="0.25">
      <c r="A684"/>
      <c r="B684"/>
    </row>
    <row r="685" spans="1:2" x14ac:dyDescent="0.25">
      <c r="A685"/>
      <c r="B685"/>
    </row>
    <row r="686" spans="1:2" x14ac:dyDescent="0.25">
      <c r="A686"/>
      <c r="B686"/>
    </row>
    <row r="687" spans="1:2" x14ac:dyDescent="0.25">
      <c r="A687"/>
      <c r="B687"/>
    </row>
    <row r="688" spans="1:2" x14ac:dyDescent="0.25">
      <c r="A688"/>
      <c r="B688"/>
    </row>
    <row r="689" spans="1:2" x14ac:dyDescent="0.25">
      <c r="A689"/>
      <c r="B689"/>
    </row>
    <row r="690" spans="1:2" x14ac:dyDescent="0.25">
      <c r="A690"/>
      <c r="B690"/>
    </row>
    <row r="691" spans="1:2" x14ac:dyDescent="0.25">
      <c r="A691"/>
      <c r="B691"/>
    </row>
    <row r="692" spans="1:2" x14ac:dyDescent="0.25">
      <c r="A692"/>
      <c r="B692"/>
    </row>
    <row r="693" spans="1:2" x14ac:dyDescent="0.25">
      <c r="A693"/>
      <c r="B693"/>
    </row>
    <row r="694" spans="1:2" x14ac:dyDescent="0.25">
      <c r="A694"/>
      <c r="B694"/>
    </row>
    <row r="695" spans="1:2" x14ac:dyDescent="0.25">
      <c r="A695"/>
      <c r="B695"/>
    </row>
    <row r="696" spans="1:2" x14ac:dyDescent="0.25">
      <c r="A696"/>
      <c r="B696"/>
    </row>
    <row r="697" spans="1:2" x14ac:dyDescent="0.25">
      <c r="A697"/>
      <c r="B697"/>
    </row>
    <row r="698" spans="1:2" x14ac:dyDescent="0.25">
      <c r="A698"/>
      <c r="B698"/>
    </row>
    <row r="699" spans="1:2" x14ac:dyDescent="0.25">
      <c r="A699"/>
      <c r="B699"/>
    </row>
    <row r="700" spans="1:2" x14ac:dyDescent="0.25">
      <c r="A700"/>
      <c r="B700"/>
    </row>
    <row r="701" spans="1:2" x14ac:dyDescent="0.25">
      <c r="A701"/>
      <c r="B701"/>
    </row>
    <row r="702" spans="1:2" x14ac:dyDescent="0.25">
      <c r="A702"/>
      <c r="B702"/>
    </row>
    <row r="703" spans="1:2" x14ac:dyDescent="0.25">
      <c r="A703"/>
      <c r="B703"/>
    </row>
    <row r="704" spans="1:2" x14ac:dyDescent="0.25">
      <c r="A704"/>
      <c r="B704"/>
    </row>
    <row r="705" spans="1:2" x14ac:dyDescent="0.25">
      <c r="A705"/>
      <c r="B705"/>
    </row>
    <row r="706" spans="1:2" x14ac:dyDescent="0.25">
      <c r="A706"/>
      <c r="B706"/>
    </row>
    <row r="707" spans="1:2" x14ac:dyDescent="0.25">
      <c r="A707"/>
      <c r="B707"/>
    </row>
    <row r="708" spans="1:2" x14ac:dyDescent="0.25">
      <c r="A708"/>
      <c r="B708"/>
    </row>
    <row r="709" spans="1:2" x14ac:dyDescent="0.25">
      <c r="A709"/>
      <c r="B709"/>
    </row>
    <row r="710" spans="1:2" x14ac:dyDescent="0.25">
      <c r="A710"/>
      <c r="B710"/>
    </row>
    <row r="711" spans="1:2" x14ac:dyDescent="0.25">
      <c r="A711"/>
      <c r="B711"/>
    </row>
    <row r="712" spans="1:2" x14ac:dyDescent="0.25">
      <c r="A712"/>
      <c r="B712"/>
    </row>
    <row r="713" spans="1:2" x14ac:dyDescent="0.25">
      <c r="A713"/>
      <c r="B713"/>
    </row>
    <row r="714" spans="1:2" x14ac:dyDescent="0.25">
      <c r="A714"/>
      <c r="B714"/>
    </row>
    <row r="715" spans="1:2" x14ac:dyDescent="0.25">
      <c r="A715"/>
      <c r="B715"/>
    </row>
    <row r="716" spans="1:2" x14ac:dyDescent="0.25">
      <c r="A716"/>
      <c r="B716"/>
    </row>
    <row r="717" spans="1:2" x14ac:dyDescent="0.25">
      <c r="A717"/>
      <c r="B717"/>
    </row>
    <row r="718" spans="1:2" x14ac:dyDescent="0.25">
      <c r="A718"/>
      <c r="B718"/>
    </row>
    <row r="719" spans="1:2" x14ac:dyDescent="0.25">
      <c r="A719"/>
      <c r="B719"/>
    </row>
    <row r="720" spans="1:2" x14ac:dyDescent="0.25">
      <c r="A720"/>
      <c r="B720"/>
    </row>
    <row r="721" spans="1:2" x14ac:dyDescent="0.25">
      <c r="A721"/>
      <c r="B721"/>
    </row>
    <row r="722" spans="1:2" x14ac:dyDescent="0.25">
      <c r="A722"/>
      <c r="B722"/>
    </row>
    <row r="723" spans="1:2" x14ac:dyDescent="0.25">
      <c r="A723"/>
      <c r="B723"/>
    </row>
    <row r="724" spans="1:2" x14ac:dyDescent="0.25">
      <c r="A724"/>
      <c r="B724"/>
    </row>
    <row r="725" spans="1:2" x14ac:dyDescent="0.25">
      <c r="A725"/>
      <c r="B725"/>
    </row>
    <row r="726" spans="1:2" x14ac:dyDescent="0.25">
      <c r="A726"/>
      <c r="B726"/>
    </row>
    <row r="727" spans="1:2" x14ac:dyDescent="0.25">
      <c r="A727"/>
      <c r="B727"/>
    </row>
    <row r="728" spans="1:2" x14ac:dyDescent="0.25">
      <c r="A728"/>
      <c r="B728"/>
    </row>
    <row r="729" spans="1:2" x14ac:dyDescent="0.25">
      <c r="A729"/>
      <c r="B729"/>
    </row>
    <row r="730" spans="1:2" x14ac:dyDescent="0.25">
      <c r="A730"/>
      <c r="B730"/>
    </row>
    <row r="731" spans="1:2" x14ac:dyDescent="0.25">
      <c r="A731"/>
      <c r="B731"/>
    </row>
    <row r="732" spans="1:2" x14ac:dyDescent="0.25">
      <c r="A732"/>
      <c r="B732"/>
    </row>
    <row r="733" spans="1:2" x14ac:dyDescent="0.25">
      <c r="A733"/>
      <c r="B733"/>
    </row>
    <row r="734" spans="1:2" x14ac:dyDescent="0.25">
      <c r="A734"/>
      <c r="B734"/>
    </row>
    <row r="735" spans="1:2" x14ac:dyDescent="0.25">
      <c r="A735"/>
      <c r="B735"/>
    </row>
    <row r="736" spans="1:2" x14ac:dyDescent="0.25">
      <c r="A736"/>
      <c r="B736"/>
    </row>
    <row r="737" spans="1:2" x14ac:dyDescent="0.25">
      <c r="A737"/>
      <c r="B737"/>
    </row>
    <row r="738" spans="1:2" x14ac:dyDescent="0.25">
      <c r="A738"/>
      <c r="B738"/>
    </row>
    <row r="739" spans="1:2" x14ac:dyDescent="0.25">
      <c r="A739"/>
      <c r="B739"/>
    </row>
    <row r="740" spans="1:2" x14ac:dyDescent="0.25">
      <c r="A740"/>
      <c r="B740"/>
    </row>
    <row r="741" spans="1:2" x14ac:dyDescent="0.25">
      <c r="A741"/>
      <c r="B741"/>
    </row>
    <row r="742" spans="1:2" x14ac:dyDescent="0.25">
      <c r="A742"/>
      <c r="B742"/>
    </row>
    <row r="743" spans="1:2" x14ac:dyDescent="0.25">
      <c r="A743"/>
      <c r="B743"/>
    </row>
    <row r="744" spans="1:2" x14ac:dyDescent="0.25">
      <c r="A744"/>
      <c r="B744"/>
    </row>
    <row r="745" spans="1:2" x14ac:dyDescent="0.25">
      <c r="A745"/>
      <c r="B745"/>
    </row>
    <row r="746" spans="1:2" x14ac:dyDescent="0.25">
      <c r="A746"/>
      <c r="B746"/>
    </row>
    <row r="747" spans="1:2" x14ac:dyDescent="0.25">
      <c r="A747"/>
      <c r="B747"/>
    </row>
    <row r="748" spans="1:2" x14ac:dyDescent="0.25">
      <c r="A748"/>
      <c r="B748"/>
    </row>
    <row r="749" spans="1:2" x14ac:dyDescent="0.25">
      <c r="A749"/>
      <c r="B749"/>
    </row>
    <row r="750" spans="1:2" x14ac:dyDescent="0.25">
      <c r="A750"/>
      <c r="B750"/>
    </row>
    <row r="751" spans="1:2" x14ac:dyDescent="0.25">
      <c r="A751"/>
      <c r="B751"/>
    </row>
    <row r="752" spans="1:2" x14ac:dyDescent="0.25">
      <c r="A752"/>
      <c r="B752"/>
    </row>
    <row r="753" spans="1:2" x14ac:dyDescent="0.25">
      <c r="A753"/>
      <c r="B753"/>
    </row>
    <row r="754" spans="1:2" x14ac:dyDescent="0.25">
      <c r="A754"/>
      <c r="B754"/>
    </row>
    <row r="755" spans="1:2" x14ac:dyDescent="0.25">
      <c r="A755"/>
      <c r="B755"/>
    </row>
    <row r="756" spans="1:2" x14ac:dyDescent="0.25">
      <c r="A756"/>
      <c r="B756"/>
    </row>
    <row r="757" spans="1:2" x14ac:dyDescent="0.25">
      <c r="A757"/>
      <c r="B757"/>
    </row>
    <row r="758" spans="1:2" x14ac:dyDescent="0.25">
      <c r="A758"/>
      <c r="B758"/>
    </row>
    <row r="759" spans="1:2" x14ac:dyDescent="0.25">
      <c r="A759"/>
      <c r="B759"/>
    </row>
    <row r="760" spans="1:2" x14ac:dyDescent="0.25">
      <c r="A760"/>
      <c r="B760"/>
    </row>
    <row r="761" spans="1:2" x14ac:dyDescent="0.25">
      <c r="A761"/>
      <c r="B761"/>
    </row>
    <row r="762" spans="1:2" x14ac:dyDescent="0.25">
      <c r="A762"/>
      <c r="B762"/>
    </row>
    <row r="763" spans="1:2" x14ac:dyDescent="0.25">
      <c r="A763"/>
      <c r="B763"/>
    </row>
    <row r="764" spans="1:2" x14ac:dyDescent="0.25">
      <c r="A764"/>
      <c r="B764"/>
    </row>
    <row r="765" spans="1:2" x14ac:dyDescent="0.25">
      <c r="A765"/>
      <c r="B765"/>
    </row>
    <row r="766" spans="1:2" x14ac:dyDescent="0.25">
      <c r="A766"/>
      <c r="B766"/>
    </row>
    <row r="767" spans="1:2" x14ac:dyDescent="0.25">
      <c r="A767"/>
      <c r="B767"/>
    </row>
    <row r="768" spans="1:2" x14ac:dyDescent="0.25">
      <c r="A768"/>
      <c r="B768"/>
    </row>
    <row r="769" spans="1:2" x14ac:dyDescent="0.25">
      <c r="A769"/>
      <c r="B769"/>
    </row>
    <row r="770" spans="1:2" x14ac:dyDescent="0.25">
      <c r="A770"/>
      <c r="B770"/>
    </row>
    <row r="771" spans="1:2" x14ac:dyDescent="0.25">
      <c r="A771"/>
      <c r="B771"/>
    </row>
    <row r="772" spans="1:2" x14ac:dyDescent="0.25">
      <c r="A772"/>
      <c r="B772"/>
    </row>
    <row r="773" spans="1:2" x14ac:dyDescent="0.25">
      <c r="A773"/>
      <c r="B773"/>
    </row>
    <row r="774" spans="1:2" x14ac:dyDescent="0.25">
      <c r="A774"/>
      <c r="B774"/>
    </row>
    <row r="775" spans="1:2" x14ac:dyDescent="0.25">
      <c r="A775"/>
      <c r="B775"/>
    </row>
    <row r="776" spans="1:2" x14ac:dyDescent="0.25">
      <c r="A776"/>
      <c r="B776"/>
    </row>
    <row r="777" spans="1:2" x14ac:dyDescent="0.25">
      <c r="A777"/>
      <c r="B777"/>
    </row>
    <row r="778" spans="1:2" x14ac:dyDescent="0.25">
      <c r="A778"/>
      <c r="B778"/>
    </row>
    <row r="779" spans="1:2" x14ac:dyDescent="0.25">
      <c r="A779"/>
      <c r="B779"/>
    </row>
    <row r="780" spans="1:2" x14ac:dyDescent="0.25">
      <c r="A780"/>
      <c r="B780"/>
    </row>
    <row r="781" spans="1:2" x14ac:dyDescent="0.25">
      <c r="A781"/>
      <c r="B781"/>
    </row>
    <row r="782" spans="1:2" x14ac:dyDescent="0.25">
      <c r="A782"/>
      <c r="B782"/>
    </row>
    <row r="783" spans="1:2" x14ac:dyDescent="0.25">
      <c r="A783"/>
      <c r="B783"/>
    </row>
    <row r="784" spans="1:2" x14ac:dyDescent="0.25">
      <c r="A784"/>
      <c r="B784"/>
    </row>
    <row r="785" spans="1:2" x14ac:dyDescent="0.25">
      <c r="A785"/>
      <c r="B785"/>
    </row>
    <row r="786" spans="1:2" x14ac:dyDescent="0.25">
      <c r="A786"/>
      <c r="B786"/>
    </row>
    <row r="787" spans="1:2" x14ac:dyDescent="0.25">
      <c r="A787"/>
      <c r="B787"/>
    </row>
    <row r="788" spans="1:2" x14ac:dyDescent="0.25">
      <c r="A788"/>
      <c r="B788"/>
    </row>
    <row r="789" spans="1:2" x14ac:dyDescent="0.25">
      <c r="A789"/>
      <c r="B789"/>
    </row>
    <row r="790" spans="1:2" x14ac:dyDescent="0.25">
      <c r="A790"/>
      <c r="B790"/>
    </row>
    <row r="791" spans="1:2" x14ac:dyDescent="0.25">
      <c r="A791"/>
      <c r="B791"/>
    </row>
    <row r="792" spans="1:2" x14ac:dyDescent="0.25">
      <c r="A792"/>
      <c r="B792"/>
    </row>
    <row r="793" spans="1:2" x14ac:dyDescent="0.25">
      <c r="A793"/>
      <c r="B793"/>
    </row>
    <row r="794" spans="1:2" x14ac:dyDescent="0.25">
      <c r="A794"/>
      <c r="B794"/>
    </row>
    <row r="795" spans="1:2" x14ac:dyDescent="0.25">
      <c r="A795"/>
      <c r="B795"/>
    </row>
    <row r="796" spans="1:2" x14ac:dyDescent="0.25">
      <c r="A796"/>
      <c r="B796"/>
    </row>
    <row r="797" spans="1:2" x14ac:dyDescent="0.25">
      <c r="A797"/>
      <c r="B797"/>
    </row>
    <row r="798" spans="1:2" x14ac:dyDescent="0.25">
      <c r="A798"/>
      <c r="B798"/>
    </row>
    <row r="799" spans="1:2" x14ac:dyDescent="0.25">
      <c r="A799"/>
      <c r="B799"/>
    </row>
    <row r="800" spans="1:2" x14ac:dyDescent="0.25">
      <c r="A800"/>
      <c r="B800"/>
    </row>
    <row r="801" spans="1:2" x14ac:dyDescent="0.25">
      <c r="A801"/>
      <c r="B801"/>
    </row>
    <row r="802" spans="1:2" x14ac:dyDescent="0.25">
      <c r="A802"/>
      <c r="B802"/>
    </row>
    <row r="803" spans="1:2" x14ac:dyDescent="0.25">
      <c r="A803"/>
      <c r="B803"/>
    </row>
    <row r="804" spans="1:2" x14ac:dyDescent="0.25">
      <c r="A804"/>
      <c r="B804"/>
    </row>
    <row r="805" spans="1:2" x14ac:dyDescent="0.25">
      <c r="A805"/>
      <c r="B805"/>
    </row>
    <row r="806" spans="1:2" x14ac:dyDescent="0.25">
      <c r="A806"/>
      <c r="B806"/>
    </row>
    <row r="807" spans="1:2" x14ac:dyDescent="0.25">
      <c r="A807"/>
      <c r="B807"/>
    </row>
    <row r="808" spans="1:2" x14ac:dyDescent="0.25">
      <c r="A808"/>
      <c r="B808"/>
    </row>
    <row r="809" spans="1:2" x14ac:dyDescent="0.25">
      <c r="A809"/>
      <c r="B809"/>
    </row>
    <row r="810" spans="1:2" x14ac:dyDescent="0.25">
      <c r="A810"/>
      <c r="B810"/>
    </row>
    <row r="811" spans="1:2" x14ac:dyDescent="0.25">
      <c r="A811"/>
      <c r="B811"/>
    </row>
    <row r="812" spans="1:2" x14ac:dyDescent="0.25">
      <c r="A812"/>
      <c r="B812"/>
    </row>
    <row r="813" spans="1:2" x14ac:dyDescent="0.25">
      <c r="A813"/>
      <c r="B813"/>
    </row>
    <row r="814" spans="1:2" x14ac:dyDescent="0.25">
      <c r="A814"/>
      <c r="B814"/>
    </row>
    <row r="815" spans="1:2" x14ac:dyDescent="0.25">
      <c r="A815"/>
      <c r="B815"/>
    </row>
    <row r="816" spans="1:2" x14ac:dyDescent="0.25">
      <c r="A816"/>
      <c r="B816"/>
    </row>
    <row r="817" spans="1:2" x14ac:dyDescent="0.25">
      <c r="A817"/>
      <c r="B817"/>
    </row>
    <row r="818" spans="1:2" x14ac:dyDescent="0.25">
      <c r="A818"/>
      <c r="B818"/>
    </row>
    <row r="819" spans="1:2" x14ac:dyDescent="0.25">
      <c r="A819"/>
      <c r="B819"/>
    </row>
    <row r="820" spans="1:2" x14ac:dyDescent="0.25">
      <c r="A820"/>
      <c r="B820"/>
    </row>
    <row r="821" spans="1:2" x14ac:dyDescent="0.25">
      <c r="A821"/>
      <c r="B821"/>
    </row>
    <row r="822" spans="1:2" x14ac:dyDescent="0.25">
      <c r="A822"/>
      <c r="B822"/>
    </row>
    <row r="823" spans="1:2" x14ac:dyDescent="0.25">
      <c r="A823"/>
      <c r="B823"/>
    </row>
    <row r="824" spans="1:2" x14ac:dyDescent="0.25">
      <c r="A824"/>
      <c r="B824"/>
    </row>
    <row r="825" spans="1:2" x14ac:dyDescent="0.25">
      <c r="A825"/>
      <c r="B825"/>
    </row>
    <row r="826" spans="1:2" x14ac:dyDescent="0.25">
      <c r="A826"/>
      <c r="B826"/>
    </row>
    <row r="827" spans="1:2" x14ac:dyDescent="0.25">
      <c r="A827"/>
      <c r="B827"/>
    </row>
    <row r="828" spans="1:2" x14ac:dyDescent="0.25">
      <c r="A828"/>
      <c r="B828"/>
    </row>
    <row r="829" spans="1:2" x14ac:dyDescent="0.25">
      <c r="A829"/>
      <c r="B829"/>
    </row>
    <row r="830" spans="1:2" x14ac:dyDescent="0.25">
      <c r="A830"/>
      <c r="B830"/>
    </row>
    <row r="831" spans="1:2" x14ac:dyDescent="0.25">
      <c r="A831"/>
      <c r="B831"/>
    </row>
    <row r="832" spans="1:2" x14ac:dyDescent="0.25">
      <c r="A832"/>
      <c r="B832"/>
    </row>
    <row r="833" spans="1:2" x14ac:dyDescent="0.25">
      <c r="A833"/>
      <c r="B833"/>
    </row>
    <row r="834" spans="1:2" x14ac:dyDescent="0.25">
      <c r="A834"/>
      <c r="B834"/>
    </row>
    <row r="835" spans="1:2" x14ac:dyDescent="0.25">
      <c r="A835"/>
      <c r="B835"/>
    </row>
    <row r="836" spans="1:2" x14ac:dyDescent="0.25">
      <c r="A836"/>
      <c r="B836"/>
    </row>
    <row r="837" spans="1:2" x14ac:dyDescent="0.25">
      <c r="A837"/>
      <c r="B837"/>
    </row>
    <row r="838" spans="1:2" x14ac:dyDescent="0.25">
      <c r="A838"/>
      <c r="B838"/>
    </row>
    <row r="839" spans="1:2" x14ac:dyDescent="0.25">
      <c r="A839"/>
      <c r="B839"/>
    </row>
    <row r="840" spans="1:2" x14ac:dyDescent="0.25">
      <c r="A840"/>
      <c r="B840"/>
    </row>
    <row r="841" spans="1:2" x14ac:dyDescent="0.25">
      <c r="A841"/>
      <c r="B841"/>
    </row>
    <row r="842" spans="1:2" x14ac:dyDescent="0.25">
      <c r="A842"/>
      <c r="B842"/>
    </row>
    <row r="843" spans="1:2" x14ac:dyDescent="0.25">
      <c r="A843"/>
      <c r="B843"/>
    </row>
    <row r="844" spans="1:2" x14ac:dyDescent="0.25">
      <c r="A844"/>
      <c r="B844"/>
    </row>
    <row r="845" spans="1:2" x14ac:dyDescent="0.25">
      <c r="A845"/>
      <c r="B845"/>
    </row>
    <row r="846" spans="1:2" x14ac:dyDescent="0.25">
      <c r="A846"/>
      <c r="B846"/>
    </row>
    <row r="847" spans="1:2" x14ac:dyDescent="0.25">
      <c r="A847"/>
      <c r="B847"/>
    </row>
    <row r="848" spans="1:2" x14ac:dyDescent="0.25">
      <c r="A848"/>
      <c r="B848"/>
    </row>
    <row r="849" spans="1:2" x14ac:dyDescent="0.25">
      <c r="A849"/>
      <c r="B849"/>
    </row>
    <row r="850" spans="1:2" x14ac:dyDescent="0.25">
      <c r="A850"/>
      <c r="B850"/>
    </row>
    <row r="851" spans="1:2" x14ac:dyDescent="0.25">
      <c r="A851"/>
      <c r="B851"/>
    </row>
    <row r="852" spans="1:2" x14ac:dyDescent="0.25">
      <c r="A852"/>
      <c r="B852"/>
    </row>
    <row r="853" spans="1:2" x14ac:dyDescent="0.25">
      <c r="A853"/>
      <c r="B853"/>
    </row>
    <row r="854" spans="1:2" x14ac:dyDescent="0.25">
      <c r="A854"/>
      <c r="B854"/>
    </row>
    <row r="855" spans="1:2" x14ac:dyDescent="0.25">
      <c r="A855"/>
      <c r="B855"/>
    </row>
    <row r="856" spans="1:2" x14ac:dyDescent="0.25">
      <c r="A856"/>
      <c r="B856"/>
    </row>
    <row r="857" spans="1:2" x14ac:dyDescent="0.25">
      <c r="A857"/>
      <c r="B857"/>
    </row>
    <row r="858" spans="1:2" x14ac:dyDescent="0.25">
      <c r="A858"/>
      <c r="B858"/>
    </row>
    <row r="859" spans="1:2" x14ac:dyDescent="0.25">
      <c r="A859"/>
      <c r="B859"/>
    </row>
    <row r="860" spans="1:2" x14ac:dyDescent="0.25">
      <c r="A860"/>
      <c r="B860"/>
    </row>
    <row r="861" spans="1:2" x14ac:dyDescent="0.25">
      <c r="A861"/>
      <c r="B861"/>
    </row>
    <row r="862" spans="1:2" x14ac:dyDescent="0.25">
      <c r="A862"/>
      <c r="B862"/>
    </row>
    <row r="863" spans="1:2" x14ac:dyDescent="0.25">
      <c r="A863"/>
      <c r="B863"/>
    </row>
    <row r="864" spans="1:2" x14ac:dyDescent="0.25">
      <c r="A864"/>
      <c r="B864"/>
    </row>
    <row r="865" spans="1:2" x14ac:dyDescent="0.25">
      <c r="A865"/>
      <c r="B865"/>
    </row>
    <row r="866" spans="1:2" x14ac:dyDescent="0.25">
      <c r="A866"/>
      <c r="B866"/>
    </row>
    <row r="867" spans="1:2" x14ac:dyDescent="0.25">
      <c r="A867"/>
      <c r="B867"/>
    </row>
    <row r="868" spans="1:2" x14ac:dyDescent="0.25">
      <c r="A868"/>
      <c r="B868"/>
    </row>
    <row r="869" spans="1:2" x14ac:dyDescent="0.25">
      <c r="A869"/>
      <c r="B869"/>
    </row>
    <row r="870" spans="1:2" x14ac:dyDescent="0.25">
      <c r="A870"/>
      <c r="B870"/>
    </row>
    <row r="871" spans="1:2" x14ac:dyDescent="0.25">
      <c r="A871"/>
      <c r="B871"/>
    </row>
    <row r="872" spans="1:2" x14ac:dyDescent="0.25">
      <c r="A872"/>
      <c r="B872"/>
    </row>
    <row r="873" spans="1:2" x14ac:dyDescent="0.25">
      <c r="A873"/>
      <c r="B873"/>
    </row>
    <row r="874" spans="1:2" x14ac:dyDescent="0.25">
      <c r="A874"/>
      <c r="B874"/>
    </row>
    <row r="875" spans="1:2" x14ac:dyDescent="0.25">
      <c r="A875"/>
      <c r="B875"/>
    </row>
    <row r="876" spans="1:2" x14ac:dyDescent="0.25">
      <c r="A876"/>
      <c r="B876"/>
    </row>
    <row r="877" spans="1:2" x14ac:dyDescent="0.25">
      <c r="A877"/>
      <c r="B877"/>
    </row>
    <row r="878" spans="1:2" x14ac:dyDescent="0.25">
      <c r="A878"/>
      <c r="B878"/>
    </row>
    <row r="879" spans="1:2" x14ac:dyDescent="0.25">
      <c r="A879"/>
      <c r="B879"/>
    </row>
    <row r="880" spans="1:2" x14ac:dyDescent="0.25">
      <c r="A880"/>
      <c r="B880"/>
    </row>
    <row r="881" spans="1:2" x14ac:dyDescent="0.25">
      <c r="A881"/>
      <c r="B881"/>
    </row>
    <row r="882" spans="1:2" x14ac:dyDescent="0.25">
      <c r="A882"/>
      <c r="B882"/>
    </row>
    <row r="883" spans="1:2" x14ac:dyDescent="0.25">
      <c r="A883"/>
      <c r="B883"/>
    </row>
    <row r="884" spans="1:2" x14ac:dyDescent="0.25">
      <c r="A884"/>
      <c r="B884"/>
    </row>
    <row r="885" spans="1:2" x14ac:dyDescent="0.25">
      <c r="A885"/>
      <c r="B885"/>
    </row>
    <row r="886" spans="1:2" x14ac:dyDescent="0.25">
      <c r="A886"/>
      <c r="B886"/>
    </row>
    <row r="887" spans="1:2" x14ac:dyDescent="0.25">
      <c r="A887"/>
      <c r="B887"/>
    </row>
    <row r="888" spans="1:2" x14ac:dyDescent="0.25">
      <c r="A888"/>
      <c r="B888"/>
    </row>
    <row r="889" spans="1:2" x14ac:dyDescent="0.25">
      <c r="A889"/>
      <c r="B889"/>
    </row>
    <row r="890" spans="1:2" x14ac:dyDescent="0.25">
      <c r="A890"/>
      <c r="B890"/>
    </row>
    <row r="891" spans="1:2" x14ac:dyDescent="0.25">
      <c r="A891"/>
      <c r="B891"/>
    </row>
    <row r="892" spans="1:2" x14ac:dyDescent="0.25">
      <c r="A892"/>
      <c r="B892"/>
    </row>
    <row r="893" spans="1:2" x14ac:dyDescent="0.25">
      <c r="A893"/>
      <c r="B893"/>
    </row>
    <row r="894" spans="1:2" x14ac:dyDescent="0.25">
      <c r="A894"/>
      <c r="B894"/>
    </row>
    <row r="895" spans="1:2" x14ac:dyDescent="0.25">
      <c r="A895"/>
      <c r="B895"/>
    </row>
    <row r="896" spans="1:2" x14ac:dyDescent="0.25">
      <c r="A896"/>
      <c r="B896"/>
    </row>
    <row r="897" spans="1:2" x14ac:dyDescent="0.25">
      <c r="A897"/>
      <c r="B897"/>
    </row>
    <row r="898" spans="1:2" x14ac:dyDescent="0.25">
      <c r="A898"/>
      <c r="B898"/>
    </row>
    <row r="899" spans="1:2" x14ac:dyDescent="0.25">
      <c r="A899"/>
      <c r="B899"/>
    </row>
    <row r="900" spans="1:2" x14ac:dyDescent="0.25">
      <c r="A900"/>
      <c r="B900"/>
    </row>
    <row r="901" spans="1:2" x14ac:dyDescent="0.25">
      <c r="A901"/>
      <c r="B901"/>
    </row>
    <row r="902" spans="1:2" x14ac:dyDescent="0.25">
      <c r="A902"/>
      <c r="B902"/>
    </row>
    <row r="903" spans="1:2" x14ac:dyDescent="0.25">
      <c r="A903"/>
      <c r="B903"/>
    </row>
    <row r="904" spans="1:2" x14ac:dyDescent="0.25">
      <c r="A904"/>
      <c r="B904"/>
    </row>
    <row r="905" spans="1:2" x14ac:dyDescent="0.25">
      <c r="A905"/>
      <c r="B905"/>
    </row>
    <row r="906" spans="1:2" x14ac:dyDescent="0.25">
      <c r="A906"/>
      <c r="B906"/>
    </row>
    <row r="907" spans="1:2" x14ac:dyDescent="0.25">
      <c r="A907"/>
      <c r="B907"/>
    </row>
    <row r="908" spans="1:2" x14ac:dyDescent="0.25">
      <c r="A908"/>
      <c r="B908"/>
    </row>
    <row r="909" spans="1:2" x14ac:dyDescent="0.25">
      <c r="A909"/>
      <c r="B909"/>
    </row>
    <row r="910" spans="1:2" x14ac:dyDescent="0.25">
      <c r="A910"/>
      <c r="B910"/>
    </row>
    <row r="911" spans="1:2" x14ac:dyDescent="0.25">
      <c r="A911"/>
      <c r="B911"/>
    </row>
    <row r="912" spans="1:2" x14ac:dyDescent="0.25">
      <c r="A912"/>
      <c r="B912"/>
    </row>
    <row r="913" spans="1:2" x14ac:dyDescent="0.25">
      <c r="A913"/>
      <c r="B913"/>
    </row>
    <row r="914" spans="1:2" x14ac:dyDescent="0.25">
      <c r="A914"/>
      <c r="B914"/>
    </row>
    <row r="915" spans="1:2" x14ac:dyDescent="0.25">
      <c r="A915"/>
      <c r="B915"/>
    </row>
    <row r="916" spans="1:2" x14ac:dyDescent="0.25">
      <c r="A916"/>
      <c r="B916"/>
    </row>
    <row r="917" spans="1:2" x14ac:dyDescent="0.25">
      <c r="A917"/>
      <c r="B917"/>
    </row>
    <row r="918" spans="1:2" x14ac:dyDescent="0.25">
      <c r="A918"/>
      <c r="B918"/>
    </row>
    <row r="919" spans="1:2" x14ac:dyDescent="0.25">
      <c r="A919"/>
      <c r="B919"/>
    </row>
    <row r="920" spans="1:2" x14ac:dyDescent="0.25">
      <c r="A920"/>
      <c r="B920"/>
    </row>
    <row r="921" spans="1:2" x14ac:dyDescent="0.25">
      <c r="A921"/>
      <c r="B921"/>
    </row>
    <row r="922" spans="1:2" x14ac:dyDescent="0.25">
      <c r="A922"/>
      <c r="B922"/>
    </row>
    <row r="923" spans="1:2" x14ac:dyDescent="0.25">
      <c r="A923"/>
      <c r="B923"/>
    </row>
    <row r="924" spans="1:2" x14ac:dyDescent="0.25">
      <c r="A924"/>
      <c r="B924"/>
    </row>
    <row r="925" spans="1:2" x14ac:dyDescent="0.25">
      <c r="A925"/>
      <c r="B925"/>
    </row>
    <row r="926" spans="1:2" x14ac:dyDescent="0.25">
      <c r="A926"/>
      <c r="B926"/>
    </row>
    <row r="927" spans="1:2" x14ac:dyDescent="0.25">
      <c r="A927"/>
      <c r="B927"/>
    </row>
    <row r="928" spans="1:2" x14ac:dyDescent="0.25">
      <c r="A928"/>
      <c r="B928"/>
    </row>
    <row r="929" spans="1:2" x14ac:dyDescent="0.25">
      <c r="A929"/>
      <c r="B929"/>
    </row>
    <row r="930" spans="1:2" x14ac:dyDescent="0.25">
      <c r="A930"/>
      <c r="B930"/>
    </row>
    <row r="931" spans="1:2" x14ac:dyDescent="0.25">
      <c r="A931"/>
      <c r="B931"/>
    </row>
    <row r="932" spans="1:2" x14ac:dyDescent="0.25">
      <c r="A932"/>
      <c r="B932"/>
    </row>
    <row r="933" spans="1:2" x14ac:dyDescent="0.25">
      <c r="A933"/>
      <c r="B933"/>
    </row>
    <row r="934" spans="1:2" x14ac:dyDescent="0.25">
      <c r="A934"/>
      <c r="B934"/>
    </row>
    <row r="935" spans="1:2" x14ac:dyDescent="0.25">
      <c r="A935"/>
      <c r="B935"/>
    </row>
    <row r="936" spans="1:2" x14ac:dyDescent="0.25">
      <c r="A936"/>
      <c r="B936"/>
    </row>
    <row r="937" spans="1:2" x14ac:dyDescent="0.25">
      <c r="A937"/>
      <c r="B937"/>
    </row>
    <row r="938" spans="1:2" x14ac:dyDescent="0.25">
      <c r="A938"/>
      <c r="B938"/>
    </row>
    <row r="939" spans="1:2" x14ac:dyDescent="0.25">
      <c r="A939"/>
      <c r="B939"/>
    </row>
    <row r="940" spans="1:2" x14ac:dyDescent="0.25">
      <c r="A940"/>
      <c r="B940"/>
    </row>
    <row r="941" spans="1:2" x14ac:dyDescent="0.25">
      <c r="A941"/>
      <c r="B941"/>
    </row>
    <row r="942" spans="1:2" x14ac:dyDescent="0.25">
      <c r="A942"/>
      <c r="B942"/>
    </row>
    <row r="943" spans="1:2" x14ac:dyDescent="0.25">
      <c r="A943"/>
      <c r="B943"/>
    </row>
    <row r="944" spans="1:2" x14ac:dyDescent="0.25">
      <c r="A944"/>
      <c r="B944"/>
    </row>
    <row r="945" spans="1:2" x14ac:dyDescent="0.25">
      <c r="A945"/>
      <c r="B945"/>
    </row>
    <row r="946" spans="1:2" x14ac:dyDescent="0.25">
      <c r="A946"/>
      <c r="B946"/>
    </row>
    <row r="947" spans="1:2" x14ac:dyDescent="0.25">
      <c r="A947"/>
      <c r="B947"/>
    </row>
    <row r="948" spans="1:2" x14ac:dyDescent="0.25">
      <c r="A948"/>
      <c r="B948"/>
    </row>
    <row r="949" spans="1:2" x14ac:dyDescent="0.25">
      <c r="A949"/>
      <c r="B949"/>
    </row>
    <row r="950" spans="1:2" x14ac:dyDescent="0.25">
      <c r="A950"/>
      <c r="B950"/>
    </row>
    <row r="951" spans="1:2" x14ac:dyDescent="0.25">
      <c r="A951"/>
      <c r="B951"/>
    </row>
    <row r="952" spans="1:2" x14ac:dyDescent="0.25">
      <c r="A952"/>
      <c r="B952"/>
    </row>
    <row r="953" spans="1:2" x14ac:dyDescent="0.25">
      <c r="A953"/>
      <c r="B953"/>
    </row>
  </sheetData>
  <autoFilter ref="A1:B950" xr:uid="{AC964603-BF4E-4912-AE87-2AE813816C9F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9064-AFD3-4E26-9AC6-1C245F7DB6C8}">
  <dimension ref="A1:B5"/>
  <sheetViews>
    <sheetView workbookViewId="0">
      <selection activeCell="J2" sqref="J2"/>
    </sheetView>
  </sheetViews>
  <sheetFormatPr defaultRowHeight="15" x14ac:dyDescent="0.25"/>
  <cols>
    <col min="1" max="1" width="24.28515625" bestFit="1" customWidth="1"/>
    <col min="2" max="2" width="32.140625" customWidth="1"/>
  </cols>
  <sheetData>
    <row r="1" spans="1:2" x14ac:dyDescent="0.25">
      <c r="A1" s="3" t="s">
        <v>2</v>
      </c>
      <c r="B1" s="2" t="s">
        <v>483</v>
      </c>
    </row>
    <row r="2" spans="1:2" x14ac:dyDescent="0.25">
      <c r="A2" s="6" t="s">
        <v>12</v>
      </c>
      <c r="B2">
        <v>30</v>
      </c>
    </row>
    <row r="3" spans="1:2" x14ac:dyDescent="0.25">
      <c r="A3" s="6" t="s">
        <v>41</v>
      </c>
      <c r="B3">
        <v>20</v>
      </c>
    </row>
    <row r="4" spans="1:2" x14ac:dyDescent="0.25">
      <c r="A4" s="6" t="s">
        <v>238</v>
      </c>
      <c r="B4">
        <v>30</v>
      </c>
    </row>
    <row r="5" spans="1:2" x14ac:dyDescent="0.25">
      <c r="A5" s="6" t="s">
        <v>381</v>
      </c>
      <c r="B5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Auditoria</vt:lpstr>
      <vt:lpstr>PESOS SUBGRUPOS</vt:lpstr>
      <vt:lpstr>PESO GRUPO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Oliveira</dc:creator>
  <cp:lastModifiedBy>Kleber Pinto</cp:lastModifiedBy>
  <dcterms:created xsi:type="dcterms:W3CDTF">2022-02-16T15:24:06Z</dcterms:created>
  <dcterms:modified xsi:type="dcterms:W3CDTF">2022-03-28T21:45:04Z</dcterms:modified>
</cp:coreProperties>
</file>